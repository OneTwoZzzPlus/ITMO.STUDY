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ITMO.STUDY\COMPNET\lab2\"/>
    </mc:Choice>
  </mc:AlternateContent>
  <xr:revisionPtr revIDLastSave="0" documentId="13_ncr:1_{AF9D920A-BE48-4536-9367-2BE72ACD2092}" xr6:coauthVersionLast="47" xr6:coauthVersionMax="47" xr10:uidLastSave="{00000000-0000-0000-0000-000000000000}"/>
  <bookViews>
    <workbookView xWindow="0" yWindow="0" windowWidth="23040" windowHeight="12360" activeTab="2" xr2:uid="{00000000-000D-0000-FFFF-FFFF00000000}"/>
  </bookViews>
  <sheets>
    <sheet name="6" sheetId="1" r:id="rId1"/>
    <sheet name="8" sheetId="2" r:id="rId2"/>
    <sheet name="9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3" l="1"/>
  <c r="D37" i="3" s="1"/>
  <c r="G33" i="3"/>
  <c r="G34" i="3" s="1"/>
  <c r="A33" i="3"/>
  <c r="G29" i="3"/>
  <c r="G30" i="3" s="1"/>
  <c r="G25" i="3"/>
  <c r="A25" i="3" s="1"/>
  <c r="G21" i="3"/>
  <c r="G17" i="3"/>
  <c r="G18" i="3" s="1"/>
  <c r="G13" i="3"/>
  <c r="G14" i="3" s="1"/>
  <c r="C6" i="3"/>
  <c r="C17" i="3" s="1"/>
  <c r="L3" i="3"/>
  <c r="H3" i="3"/>
  <c r="I3" i="3" s="1"/>
  <c r="G38" i="2"/>
  <c r="G39" i="2" s="1"/>
  <c r="G37" i="2"/>
  <c r="C37" i="2" s="1"/>
  <c r="E37" i="2"/>
  <c r="D37" i="2"/>
  <c r="G34" i="2"/>
  <c r="G35" i="2" s="1"/>
  <c r="G33" i="2"/>
  <c r="E33" i="2" s="1"/>
  <c r="C33" i="2"/>
  <c r="A33" i="2"/>
  <c r="G29" i="2"/>
  <c r="G30" i="2" s="1"/>
  <c r="E29" i="2"/>
  <c r="D29" i="2"/>
  <c r="C29" i="2"/>
  <c r="A29" i="2"/>
  <c r="G26" i="2"/>
  <c r="G27" i="2" s="1"/>
  <c r="G25" i="2"/>
  <c r="G22" i="2"/>
  <c r="G23" i="2" s="1"/>
  <c r="G21" i="2"/>
  <c r="G17" i="2"/>
  <c r="G18" i="2" s="1"/>
  <c r="A17" i="2"/>
  <c r="G13" i="2"/>
  <c r="G14" i="2" s="1"/>
  <c r="C13" i="2"/>
  <c r="A13" i="2"/>
  <c r="C6" i="2"/>
  <c r="C17" i="2" s="1"/>
  <c r="L3" i="2"/>
  <c r="H3" i="2"/>
  <c r="I3" i="2" s="1"/>
  <c r="G17" i="1"/>
  <c r="A17" i="1" s="1"/>
  <c r="G21" i="1"/>
  <c r="A21" i="1" s="1"/>
  <c r="G25" i="1"/>
  <c r="A25" i="1" s="1"/>
  <c r="G29" i="1"/>
  <c r="E29" i="1" s="1"/>
  <c r="G33" i="1"/>
  <c r="A33" i="1" s="1"/>
  <c r="G37" i="1"/>
  <c r="A37" i="1" s="1"/>
  <c r="G13" i="1"/>
  <c r="A13" i="1" s="1"/>
  <c r="C6" i="1"/>
  <c r="C13" i="1" s="1"/>
  <c r="L3" i="1"/>
  <c r="H3" i="1"/>
  <c r="I3" i="1" s="1"/>
  <c r="J3" i="1" s="1"/>
  <c r="K3" i="1" s="1"/>
  <c r="G26" i="3" l="1"/>
  <c r="G27" i="3" s="1"/>
  <c r="G28" i="3" s="1"/>
  <c r="C29" i="3"/>
  <c r="E29" i="3"/>
  <c r="A17" i="3"/>
  <c r="C33" i="3"/>
  <c r="C13" i="3"/>
  <c r="E37" i="3"/>
  <c r="D29" i="3"/>
  <c r="G5" i="3"/>
  <c r="G6" i="3" s="1"/>
  <c r="G5" i="2"/>
  <c r="G6" i="2" s="1"/>
  <c r="J3" i="3"/>
  <c r="I5" i="3" s="1"/>
  <c r="H5" i="3"/>
  <c r="H6" i="3" s="1"/>
  <c r="G15" i="3"/>
  <c r="G19" i="3"/>
  <c r="G35" i="3"/>
  <c r="E34" i="3"/>
  <c r="D34" i="3"/>
  <c r="G31" i="3"/>
  <c r="E30" i="3"/>
  <c r="D30" i="3"/>
  <c r="C25" i="3"/>
  <c r="G22" i="3"/>
  <c r="G38" i="3"/>
  <c r="A13" i="3"/>
  <c r="A29" i="3"/>
  <c r="D33" i="3"/>
  <c r="A21" i="3"/>
  <c r="E33" i="3"/>
  <c r="A37" i="3"/>
  <c r="C21" i="3"/>
  <c r="C37" i="3"/>
  <c r="G24" i="2"/>
  <c r="G36" i="2"/>
  <c r="E35" i="2"/>
  <c r="D35" i="2"/>
  <c r="E30" i="2"/>
  <c r="G31" i="2"/>
  <c r="D30" i="2"/>
  <c r="G19" i="2"/>
  <c r="G15" i="2"/>
  <c r="J3" i="2"/>
  <c r="I5" i="2" s="1"/>
  <c r="I6" i="2" s="1"/>
  <c r="H5" i="2"/>
  <c r="H6" i="2" s="1"/>
  <c r="G28" i="2"/>
  <c r="G40" i="2"/>
  <c r="E39" i="2"/>
  <c r="D39" i="2"/>
  <c r="A25" i="2"/>
  <c r="D38" i="2"/>
  <c r="C25" i="2"/>
  <c r="E38" i="2"/>
  <c r="D33" i="2"/>
  <c r="A21" i="2"/>
  <c r="D34" i="2"/>
  <c r="A37" i="2"/>
  <c r="C21" i="2"/>
  <c r="E34" i="2"/>
  <c r="G26" i="1"/>
  <c r="D29" i="1"/>
  <c r="C17" i="1"/>
  <c r="E33" i="1"/>
  <c r="G14" i="1"/>
  <c r="G15" i="1" s="1"/>
  <c r="G16" i="1" s="1"/>
  <c r="C33" i="1"/>
  <c r="G27" i="1"/>
  <c r="A29" i="1"/>
  <c r="G38" i="1"/>
  <c r="G22" i="1"/>
  <c r="C25" i="1"/>
  <c r="C29" i="1"/>
  <c r="E37" i="1"/>
  <c r="D37" i="1"/>
  <c r="G34" i="1"/>
  <c r="G18" i="1"/>
  <c r="C37" i="1"/>
  <c r="C21" i="1"/>
  <c r="D33" i="1"/>
  <c r="G30" i="1"/>
  <c r="N3" i="1"/>
  <c r="O3" i="1" s="1"/>
  <c r="I9" i="1" s="1"/>
  <c r="I8" i="1" s="1"/>
  <c r="G5" i="1"/>
  <c r="I5" i="1"/>
  <c r="I6" i="1" s="1"/>
  <c r="J5" i="1"/>
  <c r="J6" i="1" s="1"/>
  <c r="H5" i="1"/>
  <c r="H6" i="1" s="1"/>
  <c r="I6" i="3" l="1"/>
  <c r="G16" i="3"/>
  <c r="G32" i="3"/>
  <c r="E31" i="3"/>
  <c r="D31" i="3"/>
  <c r="G23" i="3"/>
  <c r="G20" i="3"/>
  <c r="G36" i="3"/>
  <c r="E35" i="3"/>
  <c r="D35" i="3"/>
  <c r="D38" i="3"/>
  <c r="G39" i="3"/>
  <c r="E38" i="3"/>
  <c r="K3" i="3"/>
  <c r="N3" i="3" s="1"/>
  <c r="G20" i="2"/>
  <c r="E31" i="2"/>
  <c r="G32" i="2"/>
  <c r="D31" i="2"/>
  <c r="E36" i="2"/>
  <c r="D36" i="2"/>
  <c r="K3" i="2"/>
  <c r="N3" i="2" s="1"/>
  <c r="G16" i="2"/>
  <c r="E40" i="2"/>
  <c r="D40" i="2"/>
  <c r="C8" i="1"/>
  <c r="N4" i="1"/>
  <c r="G28" i="1"/>
  <c r="G19" i="1"/>
  <c r="G23" i="1"/>
  <c r="D34" i="1"/>
  <c r="E34" i="1"/>
  <c r="G35" i="1"/>
  <c r="D30" i="1"/>
  <c r="E30" i="1"/>
  <c r="G31" i="1"/>
  <c r="D38" i="1"/>
  <c r="E38" i="1"/>
  <c r="G39" i="1"/>
  <c r="J9" i="1"/>
  <c r="J8" i="1" s="1"/>
  <c r="K5" i="1"/>
  <c r="H9" i="1"/>
  <c r="H8" i="1" s="1"/>
  <c r="G9" i="1"/>
  <c r="G8" i="1" s="1"/>
  <c r="D8" i="1" s="1"/>
  <c r="C9" i="1"/>
  <c r="O4" i="1"/>
  <c r="G6" i="1"/>
  <c r="E7" i="1" s="1"/>
  <c r="D7" i="1"/>
  <c r="J5" i="3" l="1"/>
  <c r="G40" i="3"/>
  <c r="E39" i="3"/>
  <c r="D39" i="3"/>
  <c r="C8" i="3"/>
  <c r="N4" i="3"/>
  <c r="O3" i="3"/>
  <c r="E32" i="3"/>
  <c r="D32" i="3"/>
  <c r="G24" i="3"/>
  <c r="E36" i="3"/>
  <c r="D36" i="3"/>
  <c r="C8" i="2"/>
  <c r="N4" i="2"/>
  <c r="O3" i="2"/>
  <c r="D32" i="2"/>
  <c r="E32" i="2"/>
  <c r="J5" i="2"/>
  <c r="E8" i="1"/>
  <c r="C11" i="1"/>
  <c r="G24" i="1"/>
  <c r="G20" i="1"/>
  <c r="D31" i="1"/>
  <c r="E31" i="1"/>
  <c r="G32" i="1"/>
  <c r="D39" i="1"/>
  <c r="E39" i="1"/>
  <c r="G40" i="1"/>
  <c r="D35" i="1"/>
  <c r="E35" i="1"/>
  <c r="G36" i="1"/>
  <c r="I13" i="1"/>
  <c r="J13" i="1" s="1"/>
  <c r="J15" i="1" s="1"/>
  <c r="C12" i="1"/>
  <c r="O8" i="1"/>
  <c r="O7" i="1" s="1"/>
  <c r="O9" i="1" s="1"/>
  <c r="L8" i="1"/>
  <c r="N8" i="1"/>
  <c r="N7" i="1" s="1"/>
  <c r="N9" i="1" s="1"/>
  <c r="M8" i="1"/>
  <c r="M7" i="1" s="1"/>
  <c r="M9" i="1" s="1"/>
  <c r="O4" i="3" l="1"/>
  <c r="C9" i="3"/>
  <c r="C11" i="3" s="1"/>
  <c r="G9" i="3"/>
  <c r="H9" i="3"/>
  <c r="H8" i="3" s="1"/>
  <c r="I9" i="3"/>
  <c r="I8" i="3" s="1"/>
  <c r="J9" i="3"/>
  <c r="J8" i="3" s="1"/>
  <c r="D40" i="3"/>
  <c r="E40" i="3"/>
  <c r="J6" i="3"/>
  <c r="E7" i="3" s="1"/>
  <c r="D7" i="3"/>
  <c r="K5" i="3"/>
  <c r="J6" i="2"/>
  <c r="E7" i="2" s="1"/>
  <c r="D7" i="2"/>
  <c r="K5" i="2"/>
  <c r="G9" i="2"/>
  <c r="J9" i="2"/>
  <c r="J8" i="2" s="1"/>
  <c r="I9" i="2"/>
  <c r="I8" i="2" s="1"/>
  <c r="H9" i="2"/>
  <c r="H8" i="2" s="1"/>
  <c r="C9" i="2"/>
  <c r="C11" i="2" s="1"/>
  <c r="O4" i="2"/>
  <c r="I29" i="1"/>
  <c r="J29" i="1" s="1"/>
  <c r="I37" i="1"/>
  <c r="J37" i="1" s="1"/>
  <c r="I25" i="1"/>
  <c r="J25" i="1" s="1"/>
  <c r="I33" i="1"/>
  <c r="J33" i="1" s="1"/>
  <c r="I17" i="1"/>
  <c r="J17" i="1" s="1"/>
  <c r="I21" i="1"/>
  <c r="J21" i="1" s="1"/>
  <c r="D32" i="1"/>
  <c r="E32" i="1"/>
  <c r="D40" i="1"/>
  <c r="E40" i="1"/>
  <c r="D36" i="1"/>
  <c r="E36" i="1"/>
  <c r="M10" i="1"/>
  <c r="E9" i="1"/>
  <c r="N10" i="1"/>
  <c r="O10" i="1"/>
  <c r="M15" i="1"/>
  <c r="Q15" i="1" s="1"/>
  <c r="K15" i="1"/>
  <c r="N15" i="1"/>
  <c r="R15" i="1" s="1"/>
  <c r="L15" i="1"/>
  <c r="P15" i="1" s="1"/>
  <c r="N13" i="1"/>
  <c r="R13" i="1" s="1"/>
  <c r="M13" i="1"/>
  <c r="Q13" i="1" s="1"/>
  <c r="L13" i="1"/>
  <c r="P13" i="1" s="1"/>
  <c r="K13" i="1"/>
  <c r="D13" i="1" s="1"/>
  <c r="L7" i="1"/>
  <c r="N8" i="3" l="1"/>
  <c r="N7" i="3" s="1"/>
  <c r="N9" i="3" s="1"/>
  <c r="M8" i="3"/>
  <c r="M7" i="3" s="1"/>
  <c r="M9" i="3" s="1"/>
  <c r="L8" i="3"/>
  <c r="O8" i="3"/>
  <c r="O7" i="3" s="1"/>
  <c r="O9" i="3" s="1"/>
  <c r="E8" i="3"/>
  <c r="G8" i="3"/>
  <c r="D8" i="3" s="1"/>
  <c r="I33" i="3"/>
  <c r="J33" i="3" s="1"/>
  <c r="I17" i="3"/>
  <c r="J17" i="3" s="1"/>
  <c r="I25" i="3"/>
  <c r="J25" i="3" s="1"/>
  <c r="I29" i="3"/>
  <c r="J29" i="3" s="1"/>
  <c r="I13" i="3"/>
  <c r="J13" i="3" s="1"/>
  <c r="I37" i="3"/>
  <c r="J37" i="3" s="1"/>
  <c r="I21" i="3"/>
  <c r="C12" i="3"/>
  <c r="J21" i="3"/>
  <c r="E8" i="2"/>
  <c r="G8" i="2"/>
  <c r="D8" i="2" s="1"/>
  <c r="O8" i="2"/>
  <c r="O7" i="2" s="1"/>
  <c r="O9" i="2" s="1"/>
  <c r="L8" i="2"/>
  <c r="N8" i="2"/>
  <c r="N7" i="2" s="1"/>
  <c r="N9" i="2" s="1"/>
  <c r="M8" i="2"/>
  <c r="M7" i="2" s="1"/>
  <c r="M9" i="2" s="1"/>
  <c r="I33" i="2"/>
  <c r="J33" i="2" s="1"/>
  <c r="I17" i="2"/>
  <c r="J17" i="2" s="1"/>
  <c r="I25" i="2"/>
  <c r="I29" i="2"/>
  <c r="J29" i="2" s="1"/>
  <c r="I13" i="2"/>
  <c r="J13" i="2" s="1"/>
  <c r="I37" i="2"/>
  <c r="J37" i="2" s="1"/>
  <c r="I21" i="2"/>
  <c r="C12" i="2"/>
  <c r="J21" i="2"/>
  <c r="J25" i="2"/>
  <c r="L14" i="1"/>
  <c r="M37" i="1"/>
  <c r="K37" i="1"/>
  <c r="O37" i="1" s="1"/>
  <c r="L37" i="1"/>
  <c r="N37" i="1"/>
  <c r="J39" i="1"/>
  <c r="J35" i="1"/>
  <c r="M33" i="1"/>
  <c r="K33" i="1"/>
  <c r="N33" i="1"/>
  <c r="L33" i="1"/>
  <c r="K29" i="1"/>
  <c r="O29" i="1" s="1"/>
  <c r="M29" i="1"/>
  <c r="J31" i="1"/>
  <c r="N29" i="1"/>
  <c r="L29" i="1"/>
  <c r="J27" i="1"/>
  <c r="K25" i="1"/>
  <c r="L25" i="1"/>
  <c r="M25" i="1"/>
  <c r="N25" i="1"/>
  <c r="N14" i="1"/>
  <c r="R14" i="1" s="1"/>
  <c r="M14" i="1"/>
  <c r="Q14" i="1" s="1"/>
  <c r="M21" i="1"/>
  <c r="L21" i="1"/>
  <c r="N21" i="1"/>
  <c r="J23" i="1"/>
  <c r="K21" i="1"/>
  <c r="K17" i="1"/>
  <c r="N17" i="1"/>
  <c r="J19" i="1"/>
  <c r="M17" i="1"/>
  <c r="L17" i="1"/>
  <c r="O15" i="1"/>
  <c r="E15" i="1" s="1"/>
  <c r="D15" i="1"/>
  <c r="P14" i="1"/>
  <c r="D9" i="1"/>
  <c r="L9" i="1"/>
  <c r="O13" i="1"/>
  <c r="E13" i="1" s="1"/>
  <c r="N37" i="3" l="1"/>
  <c r="R37" i="3" s="1"/>
  <c r="M37" i="3"/>
  <c r="Q37" i="3" s="1"/>
  <c r="L37" i="3"/>
  <c r="P37" i="3" s="1"/>
  <c r="K37" i="3"/>
  <c r="O37" i="3" s="1"/>
  <c r="J39" i="3"/>
  <c r="L29" i="3"/>
  <c r="P29" i="3" s="1"/>
  <c r="K29" i="3"/>
  <c r="O29" i="3" s="1"/>
  <c r="J31" i="3"/>
  <c r="M29" i="3"/>
  <c r="Q29" i="3" s="1"/>
  <c r="N29" i="3"/>
  <c r="R29" i="3" s="1"/>
  <c r="N25" i="3"/>
  <c r="R25" i="3" s="1"/>
  <c r="M25" i="3"/>
  <c r="Q25" i="3" s="1"/>
  <c r="L25" i="3"/>
  <c r="P25" i="3" s="1"/>
  <c r="K25" i="3"/>
  <c r="J27" i="3"/>
  <c r="L13" i="3"/>
  <c r="P13" i="3" s="1"/>
  <c r="M13" i="3"/>
  <c r="Q13" i="3" s="1"/>
  <c r="K13" i="3"/>
  <c r="J15" i="3"/>
  <c r="N13" i="3"/>
  <c r="R13" i="3" s="1"/>
  <c r="J19" i="3"/>
  <c r="N17" i="3"/>
  <c r="R17" i="3" s="1"/>
  <c r="M17" i="3"/>
  <c r="Q17" i="3" s="1"/>
  <c r="L17" i="3"/>
  <c r="P17" i="3" s="1"/>
  <c r="K17" i="3"/>
  <c r="N33" i="3"/>
  <c r="R33" i="3" s="1"/>
  <c r="M33" i="3"/>
  <c r="Q33" i="3" s="1"/>
  <c r="L33" i="3"/>
  <c r="P33" i="3" s="1"/>
  <c r="J35" i="3"/>
  <c r="K33" i="3"/>
  <c r="O33" i="3" s="1"/>
  <c r="N38" i="3"/>
  <c r="R38" i="3" s="1"/>
  <c r="N34" i="3"/>
  <c r="R34" i="3" s="1"/>
  <c r="N14" i="3"/>
  <c r="R14" i="3" s="1"/>
  <c r="O10" i="3"/>
  <c r="N21" i="3"/>
  <c r="R21" i="3" s="1"/>
  <c r="L21" i="3"/>
  <c r="P21" i="3" s="1"/>
  <c r="M21" i="3"/>
  <c r="Q21" i="3" s="1"/>
  <c r="K21" i="3"/>
  <c r="J23" i="3"/>
  <c r="E9" i="3"/>
  <c r="L7" i="3"/>
  <c r="L30" i="3"/>
  <c r="P30" i="3" s="1"/>
  <c r="L14" i="3"/>
  <c r="P14" i="3" s="1"/>
  <c r="M10" i="3"/>
  <c r="L26" i="3"/>
  <c r="P26" i="3" s="1"/>
  <c r="L38" i="3"/>
  <c r="P38" i="3" s="1"/>
  <c r="N10" i="3"/>
  <c r="M14" i="3"/>
  <c r="Q14" i="3" s="1"/>
  <c r="M38" i="3"/>
  <c r="Q38" i="3" s="1"/>
  <c r="M34" i="3"/>
  <c r="Q34" i="3" s="1"/>
  <c r="L29" i="2"/>
  <c r="P29" i="2" s="1"/>
  <c r="K29" i="2"/>
  <c r="O29" i="2" s="1"/>
  <c r="J31" i="2"/>
  <c r="N29" i="2"/>
  <c r="R29" i="2" s="1"/>
  <c r="M29" i="2"/>
  <c r="Q29" i="2" s="1"/>
  <c r="L13" i="2"/>
  <c r="P13" i="2" s="1"/>
  <c r="K13" i="2"/>
  <c r="J15" i="2"/>
  <c r="N13" i="2"/>
  <c r="R13" i="2" s="1"/>
  <c r="M13" i="2"/>
  <c r="Q13" i="2" s="1"/>
  <c r="N33" i="2"/>
  <c r="R33" i="2" s="1"/>
  <c r="M33" i="2"/>
  <c r="Q33" i="2" s="1"/>
  <c r="L33" i="2"/>
  <c r="P33" i="2" s="1"/>
  <c r="K33" i="2"/>
  <c r="O33" i="2" s="1"/>
  <c r="J35" i="2"/>
  <c r="M37" i="2"/>
  <c r="Q37" i="2" s="1"/>
  <c r="N37" i="2"/>
  <c r="R37" i="2" s="1"/>
  <c r="L37" i="2"/>
  <c r="P37" i="2" s="1"/>
  <c r="K37" i="2"/>
  <c r="O37" i="2" s="1"/>
  <c r="J39" i="2"/>
  <c r="N17" i="2"/>
  <c r="R17" i="2" s="1"/>
  <c r="M17" i="2"/>
  <c r="Q17" i="2" s="1"/>
  <c r="L17" i="2"/>
  <c r="P17" i="2" s="1"/>
  <c r="K17" i="2"/>
  <c r="J19" i="2"/>
  <c r="N10" i="2"/>
  <c r="M22" i="2"/>
  <c r="Q22" i="2" s="1"/>
  <c r="N21" i="2"/>
  <c r="R21" i="2" s="1"/>
  <c r="L21" i="2"/>
  <c r="P21" i="2" s="1"/>
  <c r="K21" i="2"/>
  <c r="J23" i="2"/>
  <c r="M21" i="2"/>
  <c r="Q21" i="2" s="1"/>
  <c r="E9" i="2"/>
  <c r="L7" i="2"/>
  <c r="L30" i="2"/>
  <c r="P30" i="2" s="1"/>
  <c r="M10" i="2"/>
  <c r="L34" i="2"/>
  <c r="P34" i="2" s="1"/>
  <c r="L18" i="2"/>
  <c r="P18" i="2" s="1"/>
  <c r="O10" i="2"/>
  <c r="N25" i="2"/>
  <c r="R25" i="2" s="1"/>
  <c r="M25" i="2"/>
  <c r="Q25" i="2" s="1"/>
  <c r="K25" i="2"/>
  <c r="L25" i="2"/>
  <c r="P25" i="2" s="1"/>
  <c r="J27" i="2"/>
  <c r="M30" i="1"/>
  <c r="Q30" i="1" s="1"/>
  <c r="Q29" i="1"/>
  <c r="K14" i="1"/>
  <c r="K30" i="1"/>
  <c r="K22" i="1"/>
  <c r="K38" i="1"/>
  <c r="K18" i="1"/>
  <c r="K26" i="1"/>
  <c r="R25" i="1"/>
  <c r="N26" i="1"/>
  <c r="R26" i="1" s="1"/>
  <c r="Q25" i="1"/>
  <c r="M26" i="1"/>
  <c r="Q26" i="1" s="1"/>
  <c r="D25" i="1"/>
  <c r="O25" i="1"/>
  <c r="R33" i="1"/>
  <c r="N34" i="1"/>
  <c r="R34" i="1" s="1"/>
  <c r="R37" i="1"/>
  <c r="N38" i="1"/>
  <c r="R38" i="1" s="1"/>
  <c r="K34" i="1"/>
  <c r="O33" i="1"/>
  <c r="Q17" i="1"/>
  <c r="M18" i="1"/>
  <c r="Q18" i="1" s="1"/>
  <c r="P25" i="1"/>
  <c r="L26" i="1"/>
  <c r="P26" i="1" s="1"/>
  <c r="O17" i="1"/>
  <c r="D17" i="1"/>
  <c r="P37" i="1"/>
  <c r="L38" i="1"/>
  <c r="P38" i="1" s="1"/>
  <c r="Q21" i="1"/>
  <c r="M22" i="1"/>
  <c r="Q22" i="1" s="1"/>
  <c r="P33" i="1"/>
  <c r="L34" i="1"/>
  <c r="P34" i="1" s="1"/>
  <c r="P17" i="1"/>
  <c r="L18" i="1"/>
  <c r="P18" i="1" s="1"/>
  <c r="Q33" i="1"/>
  <c r="M34" i="1"/>
  <c r="Q34" i="1" s="1"/>
  <c r="K35" i="1"/>
  <c r="O35" i="1" s="1"/>
  <c r="M35" i="1"/>
  <c r="Q35" i="1" s="1"/>
  <c r="L35" i="1"/>
  <c r="P35" i="1" s="1"/>
  <c r="N35" i="1"/>
  <c r="R35" i="1" s="1"/>
  <c r="K39" i="1"/>
  <c r="O39" i="1" s="1"/>
  <c r="M39" i="1"/>
  <c r="Q39" i="1" s="1"/>
  <c r="N39" i="1"/>
  <c r="R39" i="1" s="1"/>
  <c r="L39" i="1"/>
  <c r="P39" i="1" s="1"/>
  <c r="M27" i="1"/>
  <c r="Q27" i="1" s="1"/>
  <c r="K27" i="1"/>
  <c r="N27" i="1"/>
  <c r="R27" i="1" s="1"/>
  <c r="L27" i="1"/>
  <c r="P27" i="1" s="1"/>
  <c r="P21" i="1"/>
  <c r="L22" i="1"/>
  <c r="P22" i="1" s="1"/>
  <c r="K19" i="1"/>
  <c r="M19" i="1"/>
  <c r="Q19" i="1" s="1"/>
  <c r="N19" i="1"/>
  <c r="R19" i="1" s="1"/>
  <c r="L19" i="1"/>
  <c r="P19" i="1" s="1"/>
  <c r="R17" i="1"/>
  <c r="N18" i="1"/>
  <c r="R18" i="1" s="1"/>
  <c r="O21" i="1"/>
  <c r="D21" i="1"/>
  <c r="P29" i="1"/>
  <c r="L30" i="1"/>
  <c r="P30" i="1" s="1"/>
  <c r="M23" i="1"/>
  <c r="Q23" i="1" s="1"/>
  <c r="K23" i="1"/>
  <c r="L23" i="1"/>
  <c r="P23" i="1" s="1"/>
  <c r="N23" i="1"/>
  <c r="R23" i="1" s="1"/>
  <c r="R29" i="1"/>
  <c r="N30" i="1"/>
  <c r="R30" i="1" s="1"/>
  <c r="R21" i="1"/>
  <c r="N22" i="1"/>
  <c r="R22" i="1" s="1"/>
  <c r="K31" i="1"/>
  <c r="O31" i="1" s="1"/>
  <c r="M31" i="1"/>
  <c r="Q31" i="1" s="1"/>
  <c r="N31" i="1"/>
  <c r="R31" i="1" s="1"/>
  <c r="L31" i="1"/>
  <c r="P31" i="1" s="1"/>
  <c r="Q37" i="1"/>
  <c r="M38" i="1"/>
  <c r="Q38" i="1" s="1"/>
  <c r="J14" i="1"/>
  <c r="J16" i="1" s="1"/>
  <c r="D14" i="1"/>
  <c r="O14" i="1"/>
  <c r="E14" i="1" s="1"/>
  <c r="D10" i="1"/>
  <c r="L10" i="1"/>
  <c r="E10" i="1" s="1"/>
  <c r="N22" i="3" l="1"/>
  <c r="R22" i="3" s="1"/>
  <c r="M22" i="3"/>
  <c r="Q22" i="3" s="1"/>
  <c r="M18" i="3"/>
  <c r="Q18" i="3" s="1"/>
  <c r="N18" i="3"/>
  <c r="R18" i="3" s="1"/>
  <c r="L34" i="3"/>
  <c r="P34" i="3" s="1"/>
  <c r="L14" i="2"/>
  <c r="P14" i="2" s="1"/>
  <c r="M38" i="2"/>
  <c r="Q38" i="2" s="1"/>
  <c r="M30" i="2"/>
  <c r="Q30" i="2" s="1"/>
  <c r="L38" i="2"/>
  <c r="P38" i="2" s="1"/>
  <c r="N14" i="2"/>
  <c r="R14" i="2" s="1"/>
  <c r="N30" i="2"/>
  <c r="R30" i="2" s="1"/>
  <c r="L31" i="3"/>
  <c r="P31" i="3" s="1"/>
  <c r="K31" i="3"/>
  <c r="O31" i="3" s="1"/>
  <c r="M31" i="3"/>
  <c r="Q31" i="3" s="1"/>
  <c r="N31" i="3"/>
  <c r="R31" i="3" s="1"/>
  <c r="L23" i="3"/>
  <c r="P23" i="3" s="1"/>
  <c r="N23" i="3"/>
  <c r="R23" i="3" s="1"/>
  <c r="M23" i="3"/>
  <c r="Q23" i="3" s="1"/>
  <c r="K23" i="3"/>
  <c r="N26" i="3"/>
  <c r="R26" i="3" s="1"/>
  <c r="L15" i="3"/>
  <c r="P15" i="3" s="1"/>
  <c r="K15" i="3"/>
  <c r="M15" i="3"/>
  <c r="Q15" i="3" s="1"/>
  <c r="N15" i="3"/>
  <c r="R15" i="3" s="1"/>
  <c r="D13" i="3"/>
  <c r="O13" i="3"/>
  <c r="E13" i="3" s="1"/>
  <c r="L18" i="3"/>
  <c r="P18" i="3" s="1"/>
  <c r="N35" i="3"/>
  <c r="R35" i="3" s="1"/>
  <c r="M35" i="3"/>
  <c r="Q35" i="3" s="1"/>
  <c r="L35" i="3"/>
  <c r="P35" i="3" s="1"/>
  <c r="K35" i="3"/>
  <c r="O35" i="3" s="1"/>
  <c r="N39" i="3"/>
  <c r="R39" i="3" s="1"/>
  <c r="M39" i="3"/>
  <c r="Q39" i="3" s="1"/>
  <c r="L39" i="3"/>
  <c r="P39" i="3" s="1"/>
  <c r="K39" i="3"/>
  <c r="O39" i="3" s="1"/>
  <c r="D9" i="3"/>
  <c r="L9" i="3"/>
  <c r="M26" i="3"/>
  <c r="Q26" i="3" s="1"/>
  <c r="N27" i="3"/>
  <c r="R27" i="3" s="1"/>
  <c r="M27" i="3"/>
  <c r="Q27" i="3" s="1"/>
  <c r="K27" i="3"/>
  <c r="L27" i="3"/>
  <c r="P27" i="3" s="1"/>
  <c r="O21" i="3"/>
  <c r="E21" i="3" s="1"/>
  <c r="D21" i="3"/>
  <c r="L22" i="3"/>
  <c r="P22" i="3" s="1"/>
  <c r="N30" i="3"/>
  <c r="R30" i="3" s="1"/>
  <c r="O25" i="3"/>
  <c r="E25" i="3" s="1"/>
  <c r="D25" i="3"/>
  <c r="N19" i="3"/>
  <c r="R19" i="3" s="1"/>
  <c r="M19" i="3"/>
  <c r="Q19" i="3" s="1"/>
  <c r="L19" i="3"/>
  <c r="P19" i="3" s="1"/>
  <c r="K19" i="3"/>
  <c r="M30" i="3"/>
  <c r="Q30" i="3" s="1"/>
  <c r="O17" i="3"/>
  <c r="E17" i="3" s="1"/>
  <c r="D17" i="3"/>
  <c r="N39" i="2"/>
  <c r="R39" i="2" s="1"/>
  <c r="M39" i="2"/>
  <c r="Q39" i="2" s="1"/>
  <c r="L39" i="2"/>
  <c r="P39" i="2" s="1"/>
  <c r="K39" i="2"/>
  <c r="O39" i="2" s="1"/>
  <c r="L15" i="2"/>
  <c r="P15" i="2" s="1"/>
  <c r="K15" i="2"/>
  <c r="N15" i="2"/>
  <c r="R15" i="2" s="1"/>
  <c r="M15" i="2"/>
  <c r="Q15" i="2" s="1"/>
  <c r="O21" i="2"/>
  <c r="E21" i="2" s="1"/>
  <c r="D21" i="2"/>
  <c r="O25" i="2"/>
  <c r="E25" i="2" s="1"/>
  <c r="D25" i="2"/>
  <c r="D13" i="2"/>
  <c r="O13" i="2"/>
  <c r="E13" i="2" s="1"/>
  <c r="O17" i="2"/>
  <c r="E17" i="2" s="1"/>
  <c r="D17" i="2"/>
  <c r="M18" i="2"/>
  <c r="Q18" i="2" s="1"/>
  <c r="N34" i="2"/>
  <c r="R34" i="2" s="1"/>
  <c r="D9" i="2"/>
  <c r="L9" i="2"/>
  <c r="N22" i="2"/>
  <c r="R22" i="2" s="1"/>
  <c r="M26" i="2"/>
  <c r="Q26" i="2" s="1"/>
  <c r="N35" i="2"/>
  <c r="R35" i="2" s="1"/>
  <c r="M35" i="2"/>
  <c r="Q35" i="2" s="1"/>
  <c r="L35" i="2"/>
  <c r="P35" i="2" s="1"/>
  <c r="K35" i="2"/>
  <c r="O35" i="2" s="1"/>
  <c r="L31" i="2"/>
  <c r="P31" i="2" s="1"/>
  <c r="K31" i="2"/>
  <c r="O31" i="2" s="1"/>
  <c r="N31" i="2"/>
  <c r="R31" i="2" s="1"/>
  <c r="M31" i="2"/>
  <c r="Q31" i="2" s="1"/>
  <c r="L22" i="2"/>
  <c r="P22" i="2" s="1"/>
  <c r="M14" i="2"/>
  <c r="Q14" i="2" s="1"/>
  <c r="M34" i="2"/>
  <c r="Q34" i="2" s="1"/>
  <c r="N38" i="2"/>
  <c r="R38" i="2" s="1"/>
  <c r="L26" i="2"/>
  <c r="P26" i="2" s="1"/>
  <c r="N18" i="2"/>
  <c r="R18" i="2" s="1"/>
  <c r="N27" i="2"/>
  <c r="R27" i="2" s="1"/>
  <c r="M27" i="2"/>
  <c r="Q27" i="2" s="1"/>
  <c r="L27" i="2"/>
  <c r="P27" i="2" s="1"/>
  <c r="K27" i="2"/>
  <c r="N26" i="2"/>
  <c r="R26" i="2" s="1"/>
  <c r="M23" i="2"/>
  <c r="Q23" i="2" s="1"/>
  <c r="K23" i="2"/>
  <c r="L23" i="2"/>
  <c r="P23" i="2" s="1"/>
  <c r="N23" i="2"/>
  <c r="R23" i="2" s="1"/>
  <c r="N19" i="2"/>
  <c r="R19" i="2" s="1"/>
  <c r="M19" i="2"/>
  <c r="Q19" i="2" s="1"/>
  <c r="L19" i="2"/>
  <c r="P19" i="2" s="1"/>
  <c r="K19" i="2"/>
  <c r="E21" i="1"/>
  <c r="E17" i="1"/>
  <c r="O26" i="1"/>
  <c r="E26" i="1" s="1"/>
  <c r="D26" i="1"/>
  <c r="J26" i="1"/>
  <c r="J28" i="1" s="1"/>
  <c r="O38" i="1"/>
  <c r="J38" i="1"/>
  <c r="J40" i="1" s="1"/>
  <c r="J22" i="1"/>
  <c r="J24" i="1" s="1"/>
  <c r="D22" i="1"/>
  <c r="O22" i="1"/>
  <c r="E22" i="1" s="1"/>
  <c r="O27" i="1"/>
  <c r="E27" i="1" s="1"/>
  <c r="D27" i="1"/>
  <c r="O30" i="1"/>
  <c r="J30" i="1"/>
  <c r="J32" i="1" s="1"/>
  <c r="O34" i="1"/>
  <c r="J34" i="1"/>
  <c r="J36" i="1" s="1"/>
  <c r="O19" i="1"/>
  <c r="E19" i="1" s="1"/>
  <c r="D19" i="1"/>
  <c r="O23" i="1"/>
  <c r="E23" i="1" s="1"/>
  <c r="D23" i="1"/>
  <c r="E25" i="1"/>
  <c r="O18" i="1"/>
  <c r="E18" i="1" s="1"/>
  <c r="J18" i="1"/>
  <c r="J20" i="1" s="1"/>
  <c r="D18" i="1"/>
  <c r="N16" i="1"/>
  <c r="R16" i="1" s="1"/>
  <c r="M16" i="1"/>
  <c r="Q16" i="1" s="1"/>
  <c r="L16" i="1"/>
  <c r="P16" i="1" s="1"/>
  <c r="K16" i="1"/>
  <c r="O23" i="3" l="1"/>
  <c r="E23" i="3" s="1"/>
  <c r="D23" i="3"/>
  <c r="O19" i="3"/>
  <c r="E19" i="3" s="1"/>
  <c r="D19" i="3"/>
  <c r="O15" i="3"/>
  <c r="E15" i="3" s="1"/>
  <c r="D15" i="3"/>
  <c r="K30" i="3"/>
  <c r="K14" i="3"/>
  <c r="L10" i="3"/>
  <c r="E10" i="3" s="1"/>
  <c r="K26" i="3"/>
  <c r="D10" i="3"/>
  <c r="K38" i="3"/>
  <c r="K22" i="3"/>
  <c r="K34" i="3"/>
  <c r="K18" i="3"/>
  <c r="O27" i="3"/>
  <c r="E27" i="3" s="1"/>
  <c r="D27" i="3"/>
  <c r="K30" i="2"/>
  <c r="K14" i="2"/>
  <c r="L10" i="2"/>
  <c r="E10" i="2" s="1"/>
  <c r="K26" i="2"/>
  <c r="D10" i="2"/>
  <c r="K38" i="2"/>
  <c r="K22" i="2"/>
  <c r="K34" i="2"/>
  <c r="K18" i="2"/>
  <c r="O15" i="2"/>
  <c r="E15" i="2" s="1"/>
  <c r="D15" i="2"/>
  <c r="O23" i="2"/>
  <c r="E23" i="2" s="1"/>
  <c r="D23" i="2"/>
  <c r="O27" i="2"/>
  <c r="E27" i="2" s="1"/>
  <c r="D27" i="2"/>
  <c r="O19" i="2"/>
  <c r="E19" i="2" s="1"/>
  <c r="D19" i="2"/>
  <c r="N20" i="1"/>
  <c r="R20" i="1" s="1"/>
  <c r="K20" i="1"/>
  <c r="L20" i="1"/>
  <c r="P20" i="1" s="1"/>
  <c r="M20" i="1"/>
  <c r="Q20" i="1" s="1"/>
  <c r="M40" i="1"/>
  <c r="Q40" i="1" s="1"/>
  <c r="K40" i="1"/>
  <c r="O40" i="1" s="1"/>
  <c r="N40" i="1"/>
  <c r="R40" i="1" s="1"/>
  <c r="L40" i="1"/>
  <c r="P40" i="1" s="1"/>
  <c r="K28" i="1"/>
  <c r="M28" i="1"/>
  <c r="Q28" i="1" s="1"/>
  <c r="N28" i="1"/>
  <c r="R28" i="1" s="1"/>
  <c r="L28" i="1"/>
  <c r="P28" i="1" s="1"/>
  <c r="L24" i="1"/>
  <c r="P24" i="1" s="1"/>
  <c r="M24" i="1"/>
  <c r="Q24" i="1" s="1"/>
  <c r="N24" i="1"/>
  <c r="R24" i="1" s="1"/>
  <c r="K24" i="1"/>
  <c r="M36" i="1"/>
  <c r="Q36" i="1" s="1"/>
  <c r="N36" i="1"/>
  <c r="R36" i="1" s="1"/>
  <c r="K36" i="1"/>
  <c r="O36" i="1" s="1"/>
  <c r="L36" i="1"/>
  <c r="P36" i="1" s="1"/>
  <c r="M32" i="1"/>
  <c r="Q32" i="1" s="1"/>
  <c r="N32" i="1"/>
  <c r="R32" i="1" s="1"/>
  <c r="K32" i="1"/>
  <c r="O32" i="1" s="1"/>
  <c r="L32" i="1"/>
  <c r="P32" i="1" s="1"/>
  <c r="O16" i="1"/>
  <c r="E16" i="1" s="1"/>
  <c r="D16" i="1"/>
  <c r="O38" i="3" l="1"/>
  <c r="J38" i="3"/>
  <c r="J40" i="3" s="1"/>
  <c r="O26" i="3"/>
  <c r="E26" i="3" s="1"/>
  <c r="J26" i="3"/>
  <c r="J28" i="3" s="1"/>
  <c r="D26" i="3"/>
  <c r="J14" i="3"/>
  <c r="J16" i="3" s="1"/>
  <c r="O14" i="3"/>
  <c r="E14" i="3" s="1"/>
  <c r="D14" i="3"/>
  <c r="J30" i="3"/>
  <c r="J32" i="3" s="1"/>
  <c r="O30" i="3"/>
  <c r="O34" i="3"/>
  <c r="J34" i="3"/>
  <c r="J36" i="3" s="1"/>
  <c r="O18" i="3"/>
  <c r="E18" i="3" s="1"/>
  <c r="J18" i="3"/>
  <c r="J20" i="3" s="1"/>
  <c r="D18" i="3"/>
  <c r="O22" i="3"/>
  <c r="E22" i="3" s="1"/>
  <c r="J22" i="3"/>
  <c r="J24" i="3" s="1"/>
  <c r="D22" i="3"/>
  <c r="O26" i="2"/>
  <c r="E26" i="2" s="1"/>
  <c r="J26" i="2"/>
  <c r="J28" i="2" s="1"/>
  <c r="D26" i="2"/>
  <c r="O34" i="2"/>
  <c r="J34" i="2"/>
  <c r="J36" i="2" s="1"/>
  <c r="O38" i="2"/>
  <c r="J38" i="2"/>
  <c r="J40" i="2" s="1"/>
  <c r="O18" i="2"/>
  <c r="E18" i="2" s="1"/>
  <c r="J18" i="2"/>
  <c r="J20" i="2" s="1"/>
  <c r="D18" i="2"/>
  <c r="J14" i="2"/>
  <c r="J16" i="2" s="1"/>
  <c r="O14" i="2"/>
  <c r="E14" i="2" s="1"/>
  <c r="D14" i="2"/>
  <c r="O22" i="2"/>
  <c r="E22" i="2" s="1"/>
  <c r="J22" i="2"/>
  <c r="J24" i="2" s="1"/>
  <c r="D22" i="2"/>
  <c r="J30" i="2"/>
  <c r="J32" i="2" s="1"/>
  <c r="O30" i="2"/>
  <c r="O28" i="1"/>
  <c r="E28" i="1" s="1"/>
  <c r="D28" i="1"/>
  <c r="O20" i="1"/>
  <c r="E20" i="1" s="1"/>
  <c r="D20" i="1"/>
  <c r="O24" i="1"/>
  <c r="E24" i="1" s="1"/>
  <c r="D24" i="1"/>
  <c r="L16" i="3" l="1"/>
  <c r="P16" i="3" s="1"/>
  <c r="K16" i="3"/>
  <c r="M16" i="3"/>
  <c r="Q16" i="3" s="1"/>
  <c r="N16" i="3"/>
  <c r="R16" i="3" s="1"/>
  <c r="N28" i="3"/>
  <c r="R28" i="3" s="1"/>
  <c r="M28" i="3"/>
  <c r="Q28" i="3" s="1"/>
  <c r="L28" i="3"/>
  <c r="P28" i="3" s="1"/>
  <c r="K28" i="3"/>
  <c r="N36" i="3"/>
  <c r="R36" i="3" s="1"/>
  <c r="M36" i="3"/>
  <c r="Q36" i="3" s="1"/>
  <c r="L36" i="3"/>
  <c r="P36" i="3" s="1"/>
  <c r="K36" i="3"/>
  <c r="O36" i="3" s="1"/>
  <c r="N20" i="3"/>
  <c r="R20" i="3" s="1"/>
  <c r="M20" i="3"/>
  <c r="Q20" i="3" s="1"/>
  <c r="K20" i="3"/>
  <c r="L20" i="3"/>
  <c r="P20" i="3" s="1"/>
  <c r="N40" i="3"/>
  <c r="R40" i="3" s="1"/>
  <c r="M40" i="3"/>
  <c r="Q40" i="3" s="1"/>
  <c r="L40" i="3"/>
  <c r="P40" i="3" s="1"/>
  <c r="K40" i="3"/>
  <c r="O40" i="3" s="1"/>
  <c r="L32" i="3"/>
  <c r="P32" i="3" s="1"/>
  <c r="K32" i="3"/>
  <c r="O32" i="3" s="1"/>
  <c r="M32" i="3"/>
  <c r="Q32" i="3" s="1"/>
  <c r="N32" i="3"/>
  <c r="R32" i="3" s="1"/>
  <c r="L24" i="3"/>
  <c r="P24" i="3" s="1"/>
  <c r="N24" i="3"/>
  <c r="R24" i="3" s="1"/>
  <c r="M24" i="3"/>
  <c r="Q24" i="3" s="1"/>
  <c r="K24" i="3"/>
  <c r="N40" i="2"/>
  <c r="R40" i="2" s="1"/>
  <c r="M40" i="2"/>
  <c r="Q40" i="2" s="1"/>
  <c r="L40" i="2"/>
  <c r="P40" i="2" s="1"/>
  <c r="K40" i="2"/>
  <c r="O40" i="2" s="1"/>
  <c r="N20" i="2"/>
  <c r="R20" i="2" s="1"/>
  <c r="M20" i="2"/>
  <c r="Q20" i="2" s="1"/>
  <c r="L20" i="2"/>
  <c r="P20" i="2" s="1"/>
  <c r="K20" i="2"/>
  <c r="N36" i="2"/>
  <c r="R36" i="2" s="1"/>
  <c r="M36" i="2"/>
  <c r="Q36" i="2" s="1"/>
  <c r="L36" i="2"/>
  <c r="P36" i="2" s="1"/>
  <c r="K36" i="2"/>
  <c r="O36" i="2" s="1"/>
  <c r="L16" i="2"/>
  <c r="P16" i="2" s="1"/>
  <c r="K16" i="2"/>
  <c r="N16" i="2"/>
  <c r="R16" i="2" s="1"/>
  <c r="M16" i="2"/>
  <c r="Q16" i="2" s="1"/>
  <c r="N24" i="2"/>
  <c r="R24" i="2" s="1"/>
  <c r="M24" i="2"/>
  <c r="Q24" i="2" s="1"/>
  <c r="K24" i="2"/>
  <c r="L24" i="2"/>
  <c r="P24" i="2" s="1"/>
  <c r="L32" i="2"/>
  <c r="P32" i="2" s="1"/>
  <c r="K32" i="2"/>
  <c r="O32" i="2" s="1"/>
  <c r="N32" i="2"/>
  <c r="R32" i="2" s="1"/>
  <c r="M32" i="2"/>
  <c r="Q32" i="2" s="1"/>
  <c r="N28" i="2"/>
  <c r="R28" i="2" s="1"/>
  <c r="M28" i="2"/>
  <c r="Q28" i="2" s="1"/>
  <c r="K28" i="2"/>
  <c r="L28" i="2"/>
  <c r="P28" i="2" s="1"/>
  <c r="O16" i="3" l="1"/>
  <c r="E16" i="3" s="1"/>
  <c r="D16" i="3"/>
  <c r="O28" i="3"/>
  <c r="E28" i="3" s="1"/>
  <c r="D28" i="3"/>
  <c r="O24" i="3"/>
  <c r="E24" i="3" s="1"/>
  <c r="D24" i="3"/>
  <c r="O20" i="3"/>
  <c r="E20" i="3" s="1"/>
  <c r="D20" i="3"/>
  <c r="O20" i="2"/>
  <c r="E20" i="2" s="1"/>
  <c r="D20" i="2"/>
  <c r="O24" i="2"/>
  <c r="E24" i="2" s="1"/>
  <c r="D24" i="2"/>
  <c r="O28" i="2"/>
  <c r="E28" i="2" s="1"/>
  <c r="D28" i="2"/>
  <c r="O16" i="2"/>
  <c r="E16" i="2" s="1"/>
  <c r="D16" i="2"/>
</calcChain>
</file>

<file path=xl/sharedStrings.xml><?xml version="1.0" encoding="utf-8"?>
<sst xmlns="http://schemas.openxmlformats.org/spreadsheetml/2006/main" count="126" uniqueCount="20">
  <si>
    <t>10.1.16.0/20</t>
  </si>
  <si>
    <t>IP/mask</t>
  </si>
  <si>
    <t>Характеристика</t>
  </si>
  <si>
    <t>Подсети K</t>
  </si>
  <si>
    <t>Значение</t>
  </si>
  <si>
    <t>Маска подсети</t>
  </si>
  <si>
    <t>Разрядов на узлы</t>
  </si>
  <si>
    <t>Макс. кол-во узлов</t>
  </si>
  <si>
    <t>адрес</t>
  </si>
  <si>
    <t>широк.</t>
  </si>
  <si>
    <t>начало</t>
  </si>
  <si>
    <t>конец</t>
  </si>
  <si>
    <t>169.254.0.0/16</t>
  </si>
  <si>
    <t>62.16.0.0/12</t>
  </si>
  <si>
    <t>Разбивка сети на подсети.</t>
  </si>
  <si>
    <t>Номер сети</t>
  </si>
  <si>
    <t>Разряды подсети N</t>
  </si>
  <si>
    <t>Инв. маска подсети</t>
  </si>
  <si>
    <t>Маска сети</t>
  </si>
  <si>
    <t>Адрес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</si>
</sst>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C0D0E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88A40E-0DB2-4197-AAAD-0D3059477A11}">
  <we:reference id="wa104381504" version="1.0.0.0" store="ru-RU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opLeftCell="A21" zoomScaleNormal="100" workbookViewId="0">
      <selection activeCell="G47" sqref="A1:XFD1048576"/>
    </sheetView>
  </sheetViews>
  <sheetFormatPr defaultRowHeight="14.4" x14ac:dyDescent="0.3"/>
  <cols>
    <col min="1" max="1" width="11.88671875" style="2" customWidth="1"/>
    <col min="2" max="2" width="8.33203125" style="2" customWidth="1"/>
    <col min="3" max="3" width="11.44140625" style="2" bestFit="1" customWidth="1"/>
    <col min="4" max="4" width="12.6640625" style="2" bestFit="1" customWidth="1"/>
    <col min="5" max="5" width="35.33203125" style="2" bestFit="1" customWidth="1"/>
    <col min="6" max="6" width="2.6640625" style="7" customWidth="1"/>
    <col min="7" max="7" width="13.44140625" style="2" bestFit="1" customWidth="1"/>
    <col min="8" max="9" width="9" style="2" bestFit="1" customWidth="1"/>
    <col min="10" max="11" width="10" style="2" bestFit="1" customWidth="1"/>
    <col min="12" max="14" width="9" style="2" bestFit="1" customWidth="1"/>
    <col min="15" max="15" width="10.88671875" style="2" customWidth="1"/>
    <col min="16" max="16" width="10" style="2" bestFit="1" customWidth="1"/>
    <col min="17" max="17" width="10.33203125" style="2" customWidth="1"/>
    <col min="18" max="16384" width="8.88671875" style="2"/>
  </cols>
  <sheetData>
    <row r="1" spans="1:18" x14ac:dyDescent="0.3">
      <c r="A1" s="10" t="s">
        <v>14</v>
      </c>
      <c r="B1" s="10"/>
      <c r="C1" s="10"/>
      <c r="D1" s="10"/>
      <c r="E1" s="10"/>
      <c r="F1" s="5"/>
    </row>
    <row r="2" spans="1:18" x14ac:dyDescent="0.3">
      <c r="A2" s="10" t="s">
        <v>2</v>
      </c>
      <c r="B2" s="10"/>
      <c r="C2" s="10" t="s">
        <v>4</v>
      </c>
      <c r="D2" s="10"/>
      <c r="E2" s="10"/>
      <c r="F2" s="5"/>
    </row>
    <row r="3" spans="1:18" x14ac:dyDescent="0.3">
      <c r="A3" s="11" t="s">
        <v>15</v>
      </c>
      <c r="B3" s="11"/>
      <c r="C3" s="16">
        <v>6</v>
      </c>
      <c r="D3" s="16"/>
      <c r="E3" s="16"/>
      <c r="F3" s="4"/>
      <c r="G3" s="6">
        <v>0</v>
      </c>
      <c r="H3" s="7">
        <f>FIND(".",$C4,1)</f>
        <v>3</v>
      </c>
      <c r="I3" s="7">
        <f>FIND(".",$C4,H3+1)</f>
        <v>5</v>
      </c>
      <c r="J3" s="7">
        <f>FIND(".",$C4,I3+1)</f>
        <v>8</v>
      </c>
      <c r="K3" s="7">
        <f>FIND("/",$C4,J3+1)</f>
        <v>10</v>
      </c>
      <c r="L3" s="7">
        <f>LEN(C4)+1</f>
        <v>13</v>
      </c>
      <c r="N3" s="7" t="str">
        <f>MID($C4,K3+1,L3-K3-1)</f>
        <v>20</v>
      </c>
      <c r="O3" s="7" t="str">
        <f>_xlfn.BASE(2^32-POWER(2,32-N3),2,32)</f>
        <v>11111111111111111111000000000000</v>
      </c>
    </row>
    <row r="4" spans="1:18" x14ac:dyDescent="0.3">
      <c r="A4" s="11" t="s">
        <v>1</v>
      </c>
      <c r="B4" s="11"/>
      <c r="C4" s="16" t="s">
        <v>0</v>
      </c>
      <c r="D4" s="16"/>
      <c r="E4" s="16"/>
      <c r="F4" s="5"/>
      <c r="N4" s="2">
        <f>N3+C6</f>
        <v>23</v>
      </c>
      <c r="O4" s="7" t="str">
        <f>_xlfn.BASE(2^32-POWER(2,32-N4),2,32)</f>
        <v>11111111111111111111111000000000</v>
      </c>
    </row>
    <row r="5" spans="1:18" x14ac:dyDescent="0.3">
      <c r="A5" s="11" t="s">
        <v>3</v>
      </c>
      <c r="B5" s="11"/>
      <c r="C5" s="16">
        <v>4</v>
      </c>
      <c r="D5" s="16"/>
      <c r="E5" s="16"/>
      <c r="F5" s="5"/>
      <c r="G5" s="2" t="str">
        <f>MID($C4,G3+1,H3-G3-1)</f>
        <v>10</v>
      </c>
      <c r="H5" s="2" t="str">
        <f>MID($C4,H3+1,I3-H3-1)</f>
        <v>1</v>
      </c>
      <c r="I5" s="2" t="str">
        <f>MID($C4,I3+1,J3-I3-1)</f>
        <v>16</v>
      </c>
      <c r="J5" s="2" t="str">
        <f>MID($C4,J3+1,K3-J3-1)</f>
        <v>0</v>
      </c>
      <c r="K5" s="2">
        <f>G5*2^24+H5*2^16+I5*2^8+J5</f>
        <v>167841792</v>
      </c>
    </row>
    <row r="6" spans="1:18" x14ac:dyDescent="0.3">
      <c r="A6" s="11" t="s">
        <v>16</v>
      </c>
      <c r="B6" s="11"/>
      <c r="C6" s="13">
        <f>ROUNDUP(LOG(C5+1,2),0)</f>
        <v>3</v>
      </c>
      <c r="D6" s="14"/>
      <c r="E6" s="15"/>
      <c r="F6" s="8"/>
      <c r="G6" s="2" t="str">
        <f>_xlfn.BASE(G5,2,8)</f>
        <v>00001010</v>
      </c>
      <c r="H6" s="2" t="str">
        <f t="shared" ref="H6:J6" si="0">_xlfn.BASE(H5,2,8)</f>
        <v>00000001</v>
      </c>
      <c r="I6" s="2" t="str">
        <f t="shared" si="0"/>
        <v>00010000</v>
      </c>
      <c r="J6" s="2" t="str">
        <f t="shared" si="0"/>
        <v>00000000</v>
      </c>
    </row>
    <row r="7" spans="1:18" x14ac:dyDescent="0.3">
      <c r="A7" s="11" t="s">
        <v>19</v>
      </c>
      <c r="B7" s="11"/>
      <c r="C7" s="12"/>
      <c r="D7" s="12" t="str">
        <f>G5&amp;"."&amp;H5&amp;"."&amp;I5&amp;"."&amp;J5</f>
        <v>10.1.16.0</v>
      </c>
      <c r="E7" s="12" t="str">
        <f>G6&amp;"."&amp;H6&amp;"."&amp;I6&amp;"."&amp;J6</f>
        <v>00001010.00000001.00010000.00000000</v>
      </c>
      <c r="F7" s="5"/>
      <c r="L7" s="2">
        <f>_xlfn.DECIMAL(L8,2)</f>
        <v>255</v>
      </c>
      <c r="M7" s="2">
        <f t="shared" ref="M7" si="1">_xlfn.DECIMAL(M8,2)</f>
        <v>255</v>
      </c>
      <c r="N7" s="2">
        <f t="shared" ref="N7" si="2">_xlfn.DECIMAL(N8,2)</f>
        <v>254</v>
      </c>
      <c r="O7" s="2">
        <f t="shared" ref="O7" si="3">_xlfn.DECIMAL(O8,2)</f>
        <v>0</v>
      </c>
    </row>
    <row r="8" spans="1:18" x14ac:dyDescent="0.3">
      <c r="A8" s="11" t="s">
        <v>18</v>
      </c>
      <c r="B8" s="11"/>
      <c r="C8" s="12" t="str">
        <f>N3</f>
        <v>20</v>
      </c>
      <c r="D8" s="12" t="str">
        <f>G8&amp;"."&amp;H8&amp;"."&amp;I8&amp;"."&amp;J8</f>
        <v>255.255.240.0</v>
      </c>
      <c r="E8" s="12" t="str">
        <f>G9&amp;"."&amp;H9&amp;"."&amp;I9&amp;"."&amp;J9</f>
        <v>11111111.11111111.11110000.00000000</v>
      </c>
      <c r="F8" s="5"/>
      <c r="G8" s="2">
        <f>_xlfn.DECIMAL(G9,2)</f>
        <v>255</v>
      </c>
      <c r="H8" s="2">
        <f t="shared" ref="H8:J8" si="4">_xlfn.DECIMAL(H9,2)</f>
        <v>255</v>
      </c>
      <c r="I8" s="2">
        <f t="shared" si="4"/>
        <v>240</v>
      </c>
      <c r="J8" s="2">
        <f t="shared" si="4"/>
        <v>0</v>
      </c>
      <c r="L8" s="2" t="str">
        <f>MID($O4,1,8)</f>
        <v>11111111</v>
      </c>
      <c r="M8" s="2" t="str">
        <f>MID($O4,9,8)</f>
        <v>11111111</v>
      </c>
      <c r="N8" s="2" t="str">
        <f>MID($O4,17,8)</f>
        <v>11111110</v>
      </c>
      <c r="O8" s="2" t="str">
        <f>MID($O4,25,8)</f>
        <v>00000000</v>
      </c>
    </row>
    <row r="9" spans="1:18" x14ac:dyDescent="0.3">
      <c r="A9" s="11" t="s">
        <v>5</v>
      </c>
      <c r="B9" s="11"/>
      <c r="C9" s="12">
        <f>N4</f>
        <v>23</v>
      </c>
      <c r="D9" s="12" t="str">
        <f>L7&amp;"."&amp;M7&amp;"."&amp;N7&amp;"."&amp;O7</f>
        <v>255.255.254.0</v>
      </c>
      <c r="E9" s="12" t="str">
        <f>L8&amp;"."&amp;M8&amp;"."&amp;N8&amp;"."&amp;O8</f>
        <v>11111111.11111111.11111110.00000000</v>
      </c>
      <c r="F9" s="5"/>
      <c r="G9" s="2" t="str">
        <f>MID($O3,1,8)</f>
        <v>11111111</v>
      </c>
      <c r="H9" s="2" t="str">
        <f>MID($O3,9,8)</f>
        <v>11111111</v>
      </c>
      <c r="I9" s="2" t="str">
        <f>MID($O3,17,8)</f>
        <v>11110000</v>
      </c>
      <c r="J9" s="2" t="str">
        <f>MID($O3,25,8)</f>
        <v>00000000</v>
      </c>
      <c r="L9" s="2">
        <f>255-L7</f>
        <v>0</v>
      </c>
      <c r="M9" s="2">
        <f t="shared" ref="M9:O9" si="5">255-M7</f>
        <v>0</v>
      </c>
      <c r="N9" s="2">
        <f t="shared" si="5"/>
        <v>1</v>
      </c>
      <c r="O9" s="2">
        <f t="shared" si="5"/>
        <v>255</v>
      </c>
    </row>
    <row r="10" spans="1:18" x14ac:dyDescent="0.3">
      <c r="A10" s="11" t="s">
        <v>17</v>
      </c>
      <c r="B10" s="11"/>
      <c r="C10" s="12"/>
      <c r="D10" s="12" t="str">
        <f>L9&amp;"."&amp;M9&amp;"."&amp;N9&amp;"."&amp;O9</f>
        <v>0.0.1.255</v>
      </c>
      <c r="E10" s="12" t="str">
        <f>L10&amp;"."&amp;M10&amp;"."&amp;N10&amp;"."&amp;O10</f>
        <v>00000000.00000000.00000001.11111111</v>
      </c>
      <c r="F10" s="5"/>
      <c r="L10" s="2" t="str">
        <f>_xlfn.BASE(L9,2,8)</f>
        <v>00000000</v>
      </c>
      <c r="M10" s="2" t="str">
        <f t="shared" ref="M10:O10" si="6">_xlfn.BASE(M9,2,8)</f>
        <v>00000000</v>
      </c>
      <c r="N10" s="2" t="str">
        <f t="shared" si="6"/>
        <v>00000001</v>
      </c>
      <c r="O10" s="2" t="str">
        <f t="shared" si="6"/>
        <v>11111111</v>
      </c>
    </row>
    <row r="11" spans="1:18" x14ac:dyDescent="0.3">
      <c r="A11" s="11" t="s">
        <v>6</v>
      </c>
      <c r="B11" s="11"/>
      <c r="C11" s="13">
        <f>32-C9</f>
        <v>9</v>
      </c>
      <c r="D11" s="14"/>
      <c r="E11" s="15"/>
      <c r="F11" s="5"/>
    </row>
    <row r="12" spans="1:18" x14ac:dyDescent="0.3">
      <c r="A12" s="11" t="s">
        <v>7</v>
      </c>
      <c r="B12" s="11"/>
      <c r="C12" s="13">
        <f>2^C11-2</f>
        <v>510</v>
      </c>
      <c r="D12" s="14"/>
      <c r="E12" s="15"/>
      <c r="F12" s="5"/>
    </row>
    <row r="13" spans="1:18" x14ac:dyDescent="0.3">
      <c r="A13" s="12" t="str">
        <f>"Подсеть "&amp;G13</f>
        <v>Подсеть 1</v>
      </c>
      <c r="B13" s="12" t="s">
        <v>8</v>
      </c>
      <c r="C13" s="12" t="str">
        <f t="shared" ref="C13" si="7">IF(G13="","",_xlfn.BASE($G13,2,$C$6))</f>
        <v>001</v>
      </c>
      <c r="D13" s="12" t="str">
        <f t="shared" ref="D13" si="8">IF(G13="","",K13&amp;"."&amp;L13&amp;"."&amp;M13&amp;"."&amp;N13)</f>
        <v>10.1.18.0</v>
      </c>
      <c r="E13" s="12" t="str">
        <f>IF(G13="","",O13&amp;"."&amp;P13&amp;"."&amp;Q13&amp;"."&amp;R13)</f>
        <v>00001010.00000001.00010010.00000000</v>
      </c>
      <c r="F13" s="5"/>
      <c r="G13" s="2">
        <f>IF($C$5&gt;=H13,H13,"")</f>
        <v>1</v>
      </c>
      <c r="H13" s="2">
        <v>1</v>
      </c>
      <c r="I13" s="2">
        <f>H13*2^($C$11)</f>
        <v>512</v>
      </c>
      <c r="J13" s="2">
        <f>$K$5+I13</f>
        <v>167842304</v>
      </c>
      <c r="K13" s="2">
        <f>QUOTIENT(J13,2^24)</f>
        <v>10</v>
      </c>
      <c r="L13" s="2">
        <f>QUOTIENT(MOD(J13,2^24),2^16)</f>
        <v>1</v>
      </c>
      <c r="M13" s="2">
        <f>QUOTIENT(MOD(J13,2^16),2^8)</f>
        <v>18</v>
      </c>
      <c r="N13" s="2">
        <f>MOD(J13,2^8)</f>
        <v>0</v>
      </c>
      <c r="O13" s="2" t="str">
        <f>_xlfn.BASE(K13,2,8)</f>
        <v>00001010</v>
      </c>
      <c r="P13" s="2" t="str">
        <f t="shared" ref="P13:R13" si="9">_xlfn.BASE(L13,2,8)</f>
        <v>00000001</v>
      </c>
      <c r="Q13" s="2" t="str">
        <f t="shared" si="9"/>
        <v>00010010</v>
      </c>
      <c r="R13" s="2" t="str">
        <f t="shared" si="9"/>
        <v>00000000</v>
      </c>
    </row>
    <row r="14" spans="1:18" x14ac:dyDescent="0.3">
      <c r="A14" s="12"/>
      <c r="B14" s="12" t="s">
        <v>9</v>
      </c>
      <c r="C14" s="12"/>
      <c r="D14" s="12" t="str">
        <f t="shared" ref="D14" si="10">IF(G14="","",K14&amp;"."&amp;L14&amp;"."&amp;M14&amp;"."&amp;N14)</f>
        <v>10.1.19.255</v>
      </c>
      <c r="E14" s="12" t="str">
        <f>IF(G14="","",O14&amp;"."&amp;P14&amp;"."&amp;Q14&amp;"."&amp;R14)</f>
        <v>00001010.00000001.00010011.11111111</v>
      </c>
      <c r="F14" s="5"/>
      <c r="G14" s="2">
        <f>G13</f>
        <v>1</v>
      </c>
      <c r="J14" s="2">
        <f>K14*2^24+L14*2^16+M14*2^8+N14</f>
        <v>167842815</v>
      </c>
      <c r="K14" s="2">
        <f>_xlfn.BITOR($L$9,K13)</f>
        <v>10</v>
      </c>
      <c r="L14" s="2">
        <f>_xlfn.BITOR($M$9,L13)</f>
        <v>1</v>
      </c>
      <c r="M14" s="2">
        <f>_xlfn.BITOR($N$9,M13)</f>
        <v>19</v>
      </c>
      <c r="N14" s="2">
        <f>_xlfn.BITOR($O$9,N13)</f>
        <v>255</v>
      </c>
      <c r="O14" s="2" t="str">
        <f>_xlfn.BASE(K14,2,8)</f>
        <v>00001010</v>
      </c>
      <c r="P14" s="2" t="str">
        <f t="shared" ref="P14:P17" si="11">_xlfn.BASE(L14,2,8)</f>
        <v>00000001</v>
      </c>
      <c r="Q14" s="2" t="str">
        <f t="shared" ref="Q14:Q17" si="12">_xlfn.BASE(M14,2,8)</f>
        <v>00010011</v>
      </c>
      <c r="R14" s="2" t="str">
        <f t="shared" ref="R14:R17" si="13">_xlfn.BASE(N14,2,8)</f>
        <v>11111111</v>
      </c>
    </row>
    <row r="15" spans="1:18" x14ac:dyDescent="0.3">
      <c r="A15" s="12"/>
      <c r="B15" s="12" t="s">
        <v>10</v>
      </c>
      <c r="C15" s="12"/>
      <c r="D15" s="12" t="str">
        <f t="shared" ref="D15:D18" si="14">IF(G15="","",K15&amp;"."&amp;L15&amp;"."&amp;M15&amp;"."&amp;N15)</f>
        <v>10.1.18.1</v>
      </c>
      <c r="E15" s="12" t="str">
        <f t="shared" ref="E15:E18" si="15">IF(G15="","",O15&amp;"."&amp;P15&amp;"."&amp;Q15&amp;"."&amp;R15)</f>
        <v>00001010.00000001.00010010.00000001</v>
      </c>
      <c r="F15" s="5"/>
      <c r="G15" s="2">
        <f t="shared" ref="G15:G16" si="16">G14</f>
        <v>1</v>
      </c>
      <c r="J15" s="2">
        <f>J13+1</f>
        <v>167842305</v>
      </c>
      <c r="K15" s="2">
        <f>QUOTIENT(J15,2^24)</f>
        <v>10</v>
      </c>
      <c r="L15" s="2">
        <f>QUOTIENT(MOD(J15,2^24),2^16)</f>
        <v>1</v>
      </c>
      <c r="M15" s="2">
        <f>QUOTIENT(MOD(J15,2^16),2^8)</f>
        <v>18</v>
      </c>
      <c r="N15" s="2">
        <f>MOD(J15,2^8)</f>
        <v>1</v>
      </c>
      <c r="O15" s="2" t="str">
        <f>_xlfn.BASE(K15,2,8)</f>
        <v>00001010</v>
      </c>
      <c r="P15" s="2" t="str">
        <f t="shared" si="11"/>
        <v>00000001</v>
      </c>
      <c r="Q15" s="2" t="str">
        <f t="shared" si="12"/>
        <v>00010010</v>
      </c>
      <c r="R15" s="2" t="str">
        <f t="shared" si="13"/>
        <v>00000001</v>
      </c>
    </row>
    <row r="16" spans="1:18" x14ac:dyDescent="0.3">
      <c r="A16" s="12"/>
      <c r="B16" s="12" t="s">
        <v>11</v>
      </c>
      <c r="C16" s="12"/>
      <c r="D16" s="12" t="str">
        <f t="shared" si="14"/>
        <v>10.1.19.254</v>
      </c>
      <c r="E16" s="12" t="str">
        <f t="shared" si="15"/>
        <v>00001010.00000001.00010011.11111110</v>
      </c>
      <c r="F16" s="5"/>
      <c r="G16" s="2">
        <f t="shared" si="16"/>
        <v>1</v>
      </c>
      <c r="J16" s="2">
        <f>J14-1</f>
        <v>167842814</v>
      </c>
      <c r="K16" s="2">
        <f>QUOTIENT(J16,2^24)</f>
        <v>10</v>
      </c>
      <c r="L16" s="2">
        <f>QUOTIENT(MOD(J16,2^24),2^16)</f>
        <v>1</v>
      </c>
      <c r="M16" s="2">
        <f>QUOTIENT(MOD(J16,2^16),2^8)</f>
        <v>19</v>
      </c>
      <c r="N16" s="2">
        <f>MOD(J16,2^8)</f>
        <v>254</v>
      </c>
      <c r="O16" s="2" t="str">
        <f>_xlfn.BASE(K16,2,8)</f>
        <v>00001010</v>
      </c>
      <c r="P16" s="2" t="str">
        <f t="shared" si="11"/>
        <v>00000001</v>
      </c>
      <c r="Q16" s="2" t="str">
        <f t="shared" si="12"/>
        <v>00010011</v>
      </c>
      <c r="R16" s="2" t="str">
        <f t="shared" si="13"/>
        <v>11111110</v>
      </c>
    </row>
    <row r="17" spans="1:18" x14ac:dyDescent="0.3">
      <c r="A17" s="12" t="str">
        <f t="shared" ref="A17:A40" si="17">"Подсеть "&amp;G17</f>
        <v>Подсеть 2</v>
      </c>
      <c r="B17" s="12" t="s">
        <v>8</v>
      </c>
      <c r="C17" s="12" t="str">
        <f t="shared" ref="C17:C40" si="18">IF(G17="","",_xlfn.BASE($G17,2,$C$6))</f>
        <v>010</v>
      </c>
      <c r="D17" s="12" t="str">
        <f t="shared" si="14"/>
        <v>10.1.20.0</v>
      </c>
      <c r="E17" s="12" t="str">
        <f t="shared" si="15"/>
        <v>00001010.00000001.00010100.00000000</v>
      </c>
      <c r="F17" s="5"/>
      <c r="G17" s="2">
        <f t="shared" ref="G17" si="19">IF($C$5&gt;=H17,H17,"")</f>
        <v>2</v>
      </c>
      <c r="H17" s="2">
        <v>2</v>
      </c>
      <c r="I17" s="2">
        <f t="shared" ref="I17" si="20">H17*2^($C$11)</f>
        <v>1024</v>
      </c>
      <c r="J17" s="2">
        <f t="shared" ref="J17" si="21">$K$5+I17</f>
        <v>167842816</v>
      </c>
      <c r="K17" s="2">
        <f t="shared" ref="K17" si="22">QUOTIENT(J17,2^24)</f>
        <v>10</v>
      </c>
      <c r="L17" s="2">
        <f t="shared" ref="L17:L40" si="23">QUOTIENT(MOD(J17,2^24),2^16)</f>
        <v>1</v>
      </c>
      <c r="M17" s="2">
        <f t="shared" ref="M17:M40" si="24">QUOTIENT(MOD(J17,2^16),2^8)</f>
        <v>20</v>
      </c>
      <c r="N17" s="2">
        <f t="shared" ref="N17:N40" si="25">MOD(J17,2^8)</f>
        <v>0</v>
      </c>
      <c r="O17" s="2" t="str">
        <f t="shared" ref="O17:O40" si="26">_xlfn.BASE(K17,2,8)</f>
        <v>00001010</v>
      </c>
      <c r="P17" s="2" t="str">
        <f t="shared" si="11"/>
        <v>00000001</v>
      </c>
      <c r="Q17" s="2" t="str">
        <f t="shared" si="12"/>
        <v>00010100</v>
      </c>
      <c r="R17" s="2" t="str">
        <f t="shared" si="13"/>
        <v>00000000</v>
      </c>
    </row>
    <row r="18" spans="1:18" x14ac:dyDescent="0.3">
      <c r="A18" s="12"/>
      <c r="B18" s="12" t="s">
        <v>9</v>
      </c>
      <c r="C18" s="12"/>
      <c r="D18" s="12" t="str">
        <f t="shared" si="14"/>
        <v>10.1.21.255</v>
      </c>
      <c r="E18" s="12" t="str">
        <f t="shared" si="15"/>
        <v>00001010.00000001.00010101.11111111</v>
      </c>
      <c r="F18" s="5"/>
      <c r="G18" s="2">
        <f t="shared" ref="G18:G40" si="27">G17</f>
        <v>2</v>
      </c>
      <c r="J18" s="2">
        <f t="shared" ref="J18" si="28">K18*2^24+L18*2^16+M18*2^8+N18</f>
        <v>167843327</v>
      </c>
      <c r="K18" s="2">
        <f t="shared" ref="K18:K40" si="29">_xlfn.BITOR($L$9,K17)</f>
        <v>10</v>
      </c>
      <c r="L18" s="2">
        <f t="shared" ref="L18:L40" si="30">_xlfn.BITOR($M$9,L17)</f>
        <v>1</v>
      </c>
      <c r="M18" s="2">
        <f t="shared" ref="M18:M40" si="31">_xlfn.BITOR($N$9,M17)</f>
        <v>21</v>
      </c>
      <c r="N18" s="2">
        <f t="shared" ref="N18:N40" si="32">_xlfn.BITOR($O$9,N17)</f>
        <v>255</v>
      </c>
      <c r="O18" s="2" t="str">
        <f t="shared" si="26"/>
        <v>00001010</v>
      </c>
      <c r="P18" s="2" t="str">
        <f t="shared" ref="P18:P40" si="33">_xlfn.BASE(L18,2,8)</f>
        <v>00000001</v>
      </c>
      <c r="Q18" s="2" t="str">
        <f t="shared" ref="Q18:Q40" si="34">_xlfn.BASE(M18,2,8)</f>
        <v>00010101</v>
      </c>
      <c r="R18" s="2" t="str">
        <f t="shared" ref="R18:R40" si="35">_xlfn.BASE(N18,2,8)</f>
        <v>11111111</v>
      </c>
    </row>
    <row r="19" spans="1:18" x14ac:dyDescent="0.3">
      <c r="A19" s="12"/>
      <c r="B19" s="12" t="s">
        <v>10</v>
      </c>
      <c r="C19" s="12"/>
      <c r="D19" s="12" t="str">
        <f t="shared" ref="D19:D40" si="36">IF(G19="","",K19&amp;"."&amp;L19&amp;"."&amp;M19&amp;"."&amp;N19)</f>
        <v>10.1.20.1</v>
      </c>
      <c r="E19" s="12" t="str">
        <f t="shared" ref="E19:E40" si="37">IF(G19="","",O19&amp;"."&amp;P19&amp;"."&amp;Q19&amp;"."&amp;R19)</f>
        <v>00001010.00000001.00010100.00000001</v>
      </c>
      <c r="F19" s="5"/>
      <c r="G19" s="2">
        <f t="shared" si="27"/>
        <v>2</v>
      </c>
      <c r="J19" s="2">
        <f t="shared" ref="J19" si="38">J17+1</f>
        <v>167842817</v>
      </c>
      <c r="K19" s="2">
        <f t="shared" ref="K19:K21" si="39">QUOTIENT(J19,2^24)</f>
        <v>10</v>
      </c>
      <c r="L19" s="2">
        <f t="shared" ref="L19:L40" si="40">QUOTIENT(MOD(J19,2^24),2^16)</f>
        <v>1</v>
      </c>
      <c r="M19" s="2">
        <f t="shared" ref="M19:M40" si="41">QUOTIENT(MOD(J19,2^16),2^8)</f>
        <v>20</v>
      </c>
      <c r="N19" s="2">
        <f t="shared" ref="N19:N40" si="42">MOD(J19,2^8)</f>
        <v>1</v>
      </c>
      <c r="O19" s="2" t="str">
        <f t="shared" si="26"/>
        <v>00001010</v>
      </c>
      <c r="P19" s="2" t="str">
        <f t="shared" si="33"/>
        <v>00000001</v>
      </c>
      <c r="Q19" s="2" t="str">
        <f t="shared" si="34"/>
        <v>00010100</v>
      </c>
      <c r="R19" s="2" t="str">
        <f t="shared" si="35"/>
        <v>00000001</v>
      </c>
    </row>
    <row r="20" spans="1:18" x14ac:dyDescent="0.3">
      <c r="A20" s="12"/>
      <c r="B20" s="12" t="s">
        <v>11</v>
      </c>
      <c r="C20" s="12"/>
      <c r="D20" s="12" t="str">
        <f t="shared" si="36"/>
        <v>10.1.21.254</v>
      </c>
      <c r="E20" s="12" t="str">
        <f t="shared" si="37"/>
        <v>00001010.00000001.00010101.11111110</v>
      </c>
      <c r="F20" s="5"/>
      <c r="G20" s="2">
        <f t="shared" si="27"/>
        <v>2</v>
      </c>
      <c r="J20" s="2">
        <f t="shared" ref="J20" si="43">J18-1</f>
        <v>167843326</v>
      </c>
      <c r="K20" s="2">
        <f t="shared" si="39"/>
        <v>10</v>
      </c>
      <c r="L20" s="2">
        <f t="shared" si="40"/>
        <v>1</v>
      </c>
      <c r="M20" s="2">
        <f t="shared" si="41"/>
        <v>21</v>
      </c>
      <c r="N20" s="2">
        <f t="shared" si="42"/>
        <v>254</v>
      </c>
      <c r="O20" s="2" t="str">
        <f t="shared" si="26"/>
        <v>00001010</v>
      </c>
      <c r="P20" s="2" t="str">
        <f t="shared" si="33"/>
        <v>00000001</v>
      </c>
      <c r="Q20" s="2" t="str">
        <f t="shared" si="34"/>
        <v>00010101</v>
      </c>
      <c r="R20" s="2" t="str">
        <f t="shared" si="35"/>
        <v>11111110</v>
      </c>
    </row>
    <row r="21" spans="1:18" x14ac:dyDescent="0.3">
      <c r="A21" s="12" t="str">
        <f t="shared" ref="A21:A40" si="44">"Подсеть "&amp;G21</f>
        <v>Подсеть 3</v>
      </c>
      <c r="B21" s="12" t="s">
        <v>8</v>
      </c>
      <c r="C21" s="12" t="str">
        <f t="shared" ref="C21:C40" si="45">IF(G21="","",_xlfn.BASE($G21,2,$C$6))</f>
        <v>011</v>
      </c>
      <c r="D21" s="12" t="str">
        <f t="shared" si="36"/>
        <v>10.1.22.0</v>
      </c>
      <c r="E21" s="12" t="str">
        <f t="shared" si="37"/>
        <v>00001010.00000001.00010110.00000000</v>
      </c>
      <c r="F21" s="5"/>
      <c r="G21" s="2">
        <f t="shared" ref="G21" si="46">IF($C$5&gt;=H21,H21,"")</f>
        <v>3</v>
      </c>
      <c r="H21" s="2">
        <v>3</v>
      </c>
      <c r="I21" s="2">
        <f t="shared" ref="I21" si="47">H21*2^($C$11)</f>
        <v>1536</v>
      </c>
      <c r="J21" s="2">
        <f t="shared" ref="J21" si="48">$K$5+I21</f>
        <v>167843328</v>
      </c>
      <c r="K21" s="2">
        <f t="shared" si="39"/>
        <v>10</v>
      </c>
      <c r="L21" s="2">
        <f t="shared" si="40"/>
        <v>1</v>
      </c>
      <c r="M21" s="2">
        <f t="shared" si="41"/>
        <v>22</v>
      </c>
      <c r="N21" s="2">
        <f t="shared" si="42"/>
        <v>0</v>
      </c>
      <c r="O21" s="2" t="str">
        <f t="shared" si="26"/>
        <v>00001010</v>
      </c>
      <c r="P21" s="2" t="str">
        <f t="shared" si="33"/>
        <v>00000001</v>
      </c>
      <c r="Q21" s="2" t="str">
        <f t="shared" si="34"/>
        <v>00010110</v>
      </c>
      <c r="R21" s="2" t="str">
        <f t="shared" si="35"/>
        <v>00000000</v>
      </c>
    </row>
    <row r="22" spans="1:18" x14ac:dyDescent="0.3">
      <c r="A22" s="12"/>
      <c r="B22" s="12" t="s">
        <v>9</v>
      </c>
      <c r="C22" s="12"/>
      <c r="D22" s="12" t="str">
        <f t="shared" si="36"/>
        <v>10.1.23.255</v>
      </c>
      <c r="E22" s="12" t="str">
        <f t="shared" si="37"/>
        <v>00001010.00000001.00010111.11111111</v>
      </c>
      <c r="F22" s="5"/>
      <c r="G22" s="2">
        <f t="shared" ref="G22:G40" si="49">G21</f>
        <v>3</v>
      </c>
      <c r="J22" s="2">
        <f t="shared" ref="J22" si="50">K22*2^24+L22*2^16+M22*2^8+N22</f>
        <v>167843839</v>
      </c>
      <c r="K22" s="2">
        <f t="shared" ref="K22:K40" si="51">_xlfn.BITOR($L$9,K21)</f>
        <v>10</v>
      </c>
      <c r="L22" s="2">
        <f t="shared" ref="L22:L40" si="52">_xlfn.BITOR($M$9,L21)</f>
        <v>1</v>
      </c>
      <c r="M22" s="2">
        <f t="shared" ref="M22:M40" si="53">_xlfn.BITOR($N$9,M21)</f>
        <v>23</v>
      </c>
      <c r="N22" s="2">
        <f t="shared" ref="N22:N40" si="54">_xlfn.BITOR($O$9,N21)</f>
        <v>255</v>
      </c>
      <c r="O22" s="2" t="str">
        <f t="shared" si="26"/>
        <v>00001010</v>
      </c>
      <c r="P22" s="2" t="str">
        <f t="shared" si="33"/>
        <v>00000001</v>
      </c>
      <c r="Q22" s="2" t="str">
        <f t="shared" si="34"/>
        <v>00010111</v>
      </c>
      <c r="R22" s="2" t="str">
        <f t="shared" si="35"/>
        <v>11111111</v>
      </c>
    </row>
    <row r="23" spans="1:18" x14ac:dyDescent="0.3">
      <c r="A23" s="12"/>
      <c r="B23" s="12" t="s">
        <v>10</v>
      </c>
      <c r="C23" s="12"/>
      <c r="D23" s="12" t="str">
        <f t="shared" si="36"/>
        <v>10.1.22.1</v>
      </c>
      <c r="E23" s="12" t="str">
        <f t="shared" si="37"/>
        <v>00001010.00000001.00010110.00000001</v>
      </c>
      <c r="F23" s="5"/>
      <c r="G23" s="2">
        <f t="shared" si="49"/>
        <v>3</v>
      </c>
      <c r="J23" s="2">
        <f t="shared" ref="J23" si="55">J21+1</f>
        <v>167843329</v>
      </c>
      <c r="K23" s="2">
        <f t="shared" ref="K23:K25" si="56">QUOTIENT(J23,2^24)</f>
        <v>10</v>
      </c>
      <c r="L23" s="2">
        <f t="shared" ref="L23:L40" si="57">QUOTIENT(MOD(J23,2^24),2^16)</f>
        <v>1</v>
      </c>
      <c r="M23" s="2">
        <f t="shared" ref="M23:M40" si="58">QUOTIENT(MOD(J23,2^16),2^8)</f>
        <v>22</v>
      </c>
      <c r="N23" s="2">
        <f t="shared" ref="N23:N40" si="59">MOD(J23,2^8)</f>
        <v>1</v>
      </c>
      <c r="O23" s="2" t="str">
        <f t="shared" si="26"/>
        <v>00001010</v>
      </c>
      <c r="P23" s="2" t="str">
        <f t="shared" si="33"/>
        <v>00000001</v>
      </c>
      <c r="Q23" s="2" t="str">
        <f t="shared" si="34"/>
        <v>00010110</v>
      </c>
      <c r="R23" s="2" t="str">
        <f t="shared" si="35"/>
        <v>00000001</v>
      </c>
    </row>
    <row r="24" spans="1:18" x14ac:dyDescent="0.3">
      <c r="A24" s="12"/>
      <c r="B24" s="12" t="s">
        <v>11</v>
      </c>
      <c r="C24" s="12"/>
      <c r="D24" s="12" t="str">
        <f t="shared" si="36"/>
        <v>10.1.23.254</v>
      </c>
      <c r="E24" s="12" t="str">
        <f t="shared" si="37"/>
        <v>00001010.00000001.00010111.11111110</v>
      </c>
      <c r="F24" s="5"/>
      <c r="G24" s="2">
        <f t="shared" si="49"/>
        <v>3</v>
      </c>
      <c r="J24" s="2">
        <f t="shared" ref="J24" si="60">J22-1</f>
        <v>167843838</v>
      </c>
      <c r="K24" s="2">
        <f t="shared" si="56"/>
        <v>10</v>
      </c>
      <c r="L24" s="2">
        <f t="shared" si="57"/>
        <v>1</v>
      </c>
      <c r="M24" s="2">
        <f t="shared" si="58"/>
        <v>23</v>
      </c>
      <c r="N24" s="2">
        <f t="shared" si="59"/>
        <v>254</v>
      </c>
      <c r="O24" s="2" t="str">
        <f t="shared" si="26"/>
        <v>00001010</v>
      </c>
      <c r="P24" s="2" t="str">
        <f t="shared" si="33"/>
        <v>00000001</v>
      </c>
      <c r="Q24" s="2" t="str">
        <f t="shared" si="34"/>
        <v>00010111</v>
      </c>
      <c r="R24" s="2" t="str">
        <f t="shared" si="35"/>
        <v>11111110</v>
      </c>
    </row>
    <row r="25" spans="1:18" x14ac:dyDescent="0.3">
      <c r="A25" s="12" t="str">
        <f t="shared" ref="A25:A40" si="61">"Подсеть "&amp;G25</f>
        <v>Подсеть 4</v>
      </c>
      <c r="B25" s="12" t="s">
        <v>8</v>
      </c>
      <c r="C25" s="12" t="str">
        <f t="shared" ref="C25:C40" si="62">IF(G25="","",_xlfn.BASE($G25,2,$C$6))</f>
        <v>100</v>
      </c>
      <c r="D25" s="12" t="str">
        <f t="shared" si="36"/>
        <v>10.1.24.0</v>
      </c>
      <c r="E25" s="12" t="str">
        <f t="shared" si="37"/>
        <v>00001010.00000001.00011000.00000000</v>
      </c>
      <c r="F25" s="5"/>
      <c r="G25" s="2">
        <f t="shared" ref="G25" si="63">IF($C$5&gt;=H25,H25,"")</f>
        <v>4</v>
      </c>
      <c r="H25" s="2">
        <v>4</v>
      </c>
      <c r="I25" s="2">
        <f t="shared" ref="I25" si="64">H25*2^($C$11)</f>
        <v>2048</v>
      </c>
      <c r="J25" s="2">
        <f t="shared" ref="J25" si="65">$K$5+I25</f>
        <v>167843840</v>
      </c>
      <c r="K25" s="2">
        <f t="shared" si="56"/>
        <v>10</v>
      </c>
      <c r="L25" s="2">
        <f t="shared" si="57"/>
        <v>1</v>
      </c>
      <c r="M25" s="2">
        <f t="shared" si="58"/>
        <v>24</v>
      </c>
      <c r="N25" s="2">
        <f t="shared" si="59"/>
        <v>0</v>
      </c>
      <c r="O25" s="2" t="str">
        <f t="shared" si="26"/>
        <v>00001010</v>
      </c>
      <c r="P25" s="2" t="str">
        <f t="shared" si="33"/>
        <v>00000001</v>
      </c>
      <c r="Q25" s="2" t="str">
        <f t="shared" si="34"/>
        <v>00011000</v>
      </c>
      <c r="R25" s="2" t="str">
        <f t="shared" si="35"/>
        <v>00000000</v>
      </c>
    </row>
    <row r="26" spans="1:18" x14ac:dyDescent="0.3">
      <c r="A26" s="12"/>
      <c r="B26" s="12" t="s">
        <v>9</v>
      </c>
      <c r="C26" s="12"/>
      <c r="D26" s="12" t="str">
        <f t="shared" si="36"/>
        <v>10.1.25.255</v>
      </c>
      <c r="E26" s="12" t="str">
        <f t="shared" si="37"/>
        <v>00001010.00000001.00011001.11111111</v>
      </c>
      <c r="F26" s="5"/>
      <c r="G26" s="2">
        <f t="shared" ref="G26:G40" si="66">G25</f>
        <v>4</v>
      </c>
      <c r="J26" s="2">
        <f t="shared" ref="J26" si="67">K26*2^24+L26*2^16+M26*2^8+N26</f>
        <v>167844351</v>
      </c>
      <c r="K26" s="2">
        <f t="shared" ref="K26:K40" si="68">_xlfn.BITOR($L$9,K25)</f>
        <v>10</v>
      </c>
      <c r="L26" s="2">
        <f t="shared" ref="L26:L40" si="69">_xlfn.BITOR($M$9,L25)</f>
        <v>1</v>
      </c>
      <c r="M26" s="2">
        <f t="shared" ref="M26:M40" si="70">_xlfn.BITOR($N$9,M25)</f>
        <v>25</v>
      </c>
      <c r="N26" s="2">
        <f t="shared" ref="N26:N40" si="71">_xlfn.BITOR($O$9,N25)</f>
        <v>255</v>
      </c>
      <c r="O26" s="2" t="str">
        <f t="shared" si="26"/>
        <v>00001010</v>
      </c>
      <c r="P26" s="2" t="str">
        <f t="shared" si="33"/>
        <v>00000001</v>
      </c>
      <c r="Q26" s="2" t="str">
        <f t="shared" si="34"/>
        <v>00011001</v>
      </c>
      <c r="R26" s="2" t="str">
        <f t="shared" si="35"/>
        <v>11111111</v>
      </c>
    </row>
    <row r="27" spans="1:18" x14ac:dyDescent="0.3">
      <c r="A27" s="12"/>
      <c r="B27" s="12" t="s">
        <v>10</v>
      </c>
      <c r="C27" s="12"/>
      <c r="D27" s="12" t="str">
        <f t="shared" si="36"/>
        <v>10.1.24.1</v>
      </c>
      <c r="E27" s="12" t="str">
        <f t="shared" si="37"/>
        <v>00001010.00000001.00011000.00000001</v>
      </c>
      <c r="F27" s="5"/>
      <c r="G27" s="2">
        <f t="shared" si="66"/>
        <v>4</v>
      </c>
      <c r="J27" s="2">
        <f t="shared" ref="J27" si="72">J25+1</f>
        <v>167843841</v>
      </c>
      <c r="K27" s="2">
        <f t="shared" ref="K27:K29" si="73">QUOTIENT(J27,2^24)</f>
        <v>10</v>
      </c>
      <c r="L27" s="2">
        <f t="shared" ref="L27:L40" si="74">QUOTIENT(MOD(J27,2^24),2^16)</f>
        <v>1</v>
      </c>
      <c r="M27" s="2">
        <f t="shared" ref="M27:M40" si="75">QUOTIENT(MOD(J27,2^16),2^8)</f>
        <v>24</v>
      </c>
      <c r="N27" s="2">
        <f t="shared" ref="N27:N40" si="76">MOD(J27,2^8)</f>
        <v>1</v>
      </c>
      <c r="O27" s="2" t="str">
        <f t="shared" si="26"/>
        <v>00001010</v>
      </c>
      <c r="P27" s="2" t="str">
        <f t="shared" si="33"/>
        <v>00000001</v>
      </c>
      <c r="Q27" s="2" t="str">
        <f t="shared" si="34"/>
        <v>00011000</v>
      </c>
      <c r="R27" s="2" t="str">
        <f t="shared" si="35"/>
        <v>00000001</v>
      </c>
    </row>
    <row r="28" spans="1:18" x14ac:dyDescent="0.3">
      <c r="A28" s="12"/>
      <c r="B28" s="12" t="s">
        <v>11</v>
      </c>
      <c r="C28" s="12"/>
      <c r="D28" s="12" t="str">
        <f t="shared" si="36"/>
        <v>10.1.25.254</v>
      </c>
      <c r="E28" s="12" t="str">
        <f t="shared" si="37"/>
        <v>00001010.00000001.00011001.11111110</v>
      </c>
      <c r="F28" s="5"/>
      <c r="G28" s="2">
        <f t="shared" si="66"/>
        <v>4</v>
      </c>
      <c r="J28" s="2">
        <f t="shared" ref="J28" si="77">J26-1</f>
        <v>167844350</v>
      </c>
      <c r="K28" s="2">
        <f t="shared" si="73"/>
        <v>10</v>
      </c>
      <c r="L28" s="2">
        <f t="shared" si="74"/>
        <v>1</v>
      </c>
      <c r="M28" s="2">
        <f t="shared" si="75"/>
        <v>25</v>
      </c>
      <c r="N28" s="2">
        <f t="shared" si="76"/>
        <v>254</v>
      </c>
      <c r="O28" s="2" t="str">
        <f t="shared" si="26"/>
        <v>00001010</v>
      </c>
      <c r="P28" s="2" t="str">
        <f t="shared" si="33"/>
        <v>00000001</v>
      </c>
      <c r="Q28" s="2" t="str">
        <f t="shared" si="34"/>
        <v>00011001</v>
      </c>
      <c r="R28" s="2" t="str">
        <f t="shared" si="35"/>
        <v>11111110</v>
      </c>
    </row>
    <row r="29" spans="1:18" x14ac:dyDescent="0.3">
      <c r="A29" s="12" t="str">
        <f t="shared" ref="A29:A40" si="78">"Подсеть "&amp;G29</f>
        <v xml:space="preserve">Подсеть </v>
      </c>
      <c r="B29" s="12" t="s">
        <v>8</v>
      </c>
      <c r="C29" s="12" t="str">
        <f t="shared" ref="C29:C40" si="79">IF(G29="","",_xlfn.BASE($G29,2,$C$6))</f>
        <v/>
      </c>
      <c r="D29" s="12" t="str">
        <f t="shared" si="36"/>
        <v/>
      </c>
      <c r="E29" s="12" t="str">
        <f t="shared" si="37"/>
        <v/>
      </c>
      <c r="F29" s="5"/>
      <c r="G29" s="2" t="str">
        <f t="shared" ref="G29" si="80">IF($C$5&gt;=H29,H29,"")</f>
        <v/>
      </c>
      <c r="H29" s="2">
        <v>5</v>
      </c>
      <c r="I29" s="2">
        <f t="shared" ref="I29" si="81">H29*2^($C$11)</f>
        <v>2560</v>
      </c>
      <c r="J29" s="2">
        <f t="shared" ref="J29" si="82">$K$5+I29</f>
        <v>167844352</v>
      </c>
      <c r="K29" s="2">
        <f t="shared" si="73"/>
        <v>10</v>
      </c>
      <c r="L29" s="2">
        <f t="shared" si="74"/>
        <v>1</v>
      </c>
      <c r="M29" s="2">
        <f t="shared" si="75"/>
        <v>26</v>
      </c>
      <c r="N29" s="2">
        <f t="shared" si="76"/>
        <v>0</v>
      </c>
      <c r="O29" s="2" t="str">
        <f t="shared" si="26"/>
        <v>00001010</v>
      </c>
      <c r="P29" s="2" t="str">
        <f t="shared" si="33"/>
        <v>00000001</v>
      </c>
      <c r="Q29" s="2" t="str">
        <f t="shared" si="34"/>
        <v>00011010</v>
      </c>
      <c r="R29" s="2" t="str">
        <f t="shared" si="35"/>
        <v>00000000</v>
      </c>
    </row>
    <row r="30" spans="1:18" x14ac:dyDescent="0.3">
      <c r="A30" s="12"/>
      <c r="B30" s="12" t="s">
        <v>9</v>
      </c>
      <c r="C30" s="12"/>
      <c r="D30" s="12" t="str">
        <f t="shared" si="36"/>
        <v/>
      </c>
      <c r="E30" s="12" t="str">
        <f t="shared" si="37"/>
        <v/>
      </c>
      <c r="F30" s="5"/>
      <c r="G30" s="2" t="str">
        <f t="shared" ref="G30:G40" si="83">G29</f>
        <v/>
      </c>
      <c r="J30" s="2">
        <f t="shared" ref="J30" si="84">K30*2^24+L30*2^16+M30*2^8+N30</f>
        <v>167844863</v>
      </c>
      <c r="K30" s="2">
        <f t="shared" ref="K30:K40" si="85">_xlfn.BITOR($L$9,K29)</f>
        <v>10</v>
      </c>
      <c r="L30" s="2">
        <f t="shared" ref="L30:L40" si="86">_xlfn.BITOR($M$9,L29)</f>
        <v>1</v>
      </c>
      <c r="M30" s="2">
        <f t="shared" ref="M30:M40" si="87">_xlfn.BITOR($N$9,M29)</f>
        <v>27</v>
      </c>
      <c r="N30" s="2">
        <f t="shared" ref="N30:N40" si="88">_xlfn.BITOR($O$9,N29)</f>
        <v>255</v>
      </c>
      <c r="O30" s="2" t="str">
        <f t="shared" si="26"/>
        <v>00001010</v>
      </c>
      <c r="P30" s="2" t="str">
        <f t="shared" si="33"/>
        <v>00000001</v>
      </c>
      <c r="Q30" s="2" t="str">
        <f t="shared" si="34"/>
        <v>00011011</v>
      </c>
      <c r="R30" s="2" t="str">
        <f t="shared" si="35"/>
        <v>11111111</v>
      </c>
    </row>
    <row r="31" spans="1:18" x14ac:dyDescent="0.3">
      <c r="A31" s="12"/>
      <c r="B31" s="12" t="s">
        <v>10</v>
      </c>
      <c r="C31" s="12"/>
      <c r="D31" s="12" t="str">
        <f t="shared" si="36"/>
        <v/>
      </c>
      <c r="E31" s="12" t="str">
        <f t="shared" si="37"/>
        <v/>
      </c>
      <c r="F31" s="5"/>
      <c r="G31" s="2" t="str">
        <f t="shared" si="83"/>
        <v/>
      </c>
      <c r="J31" s="2">
        <f t="shared" ref="J31" si="89">J29+1</f>
        <v>167844353</v>
      </c>
      <c r="K31" s="2">
        <f t="shared" ref="K31:K33" si="90">QUOTIENT(J31,2^24)</f>
        <v>10</v>
      </c>
      <c r="L31" s="2">
        <f t="shared" ref="L31:L40" si="91">QUOTIENT(MOD(J31,2^24),2^16)</f>
        <v>1</v>
      </c>
      <c r="M31" s="2">
        <f t="shared" ref="M31:M40" si="92">QUOTIENT(MOD(J31,2^16),2^8)</f>
        <v>26</v>
      </c>
      <c r="N31" s="2">
        <f t="shared" ref="N31:N40" si="93">MOD(J31,2^8)</f>
        <v>1</v>
      </c>
      <c r="O31" s="2" t="str">
        <f t="shared" si="26"/>
        <v>00001010</v>
      </c>
      <c r="P31" s="2" t="str">
        <f t="shared" si="33"/>
        <v>00000001</v>
      </c>
      <c r="Q31" s="2" t="str">
        <f t="shared" si="34"/>
        <v>00011010</v>
      </c>
      <c r="R31" s="2" t="str">
        <f t="shared" si="35"/>
        <v>00000001</v>
      </c>
    </row>
    <row r="32" spans="1:18" x14ac:dyDescent="0.3">
      <c r="A32" s="12"/>
      <c r="B32" s="12" t="s">
        <v>11</v>
      </c>
      <c r="C32" s="12"/>
      <c r="D32" s="12" t="str">
        <f t="shared" si="36"/>
        <v/>
      </c>
      <c r="E32" s="12" t="str">
        <f t="shared" si="37"/>
        <v/>
      </c>
      <c r="F32" s="5"/>
      <c r="G32" s="2" t="str">
        <f t="shared" si="83"/>
        <v/>
      </c>
      <c r="J32" s="2">
        <f t="shared" ref="J32" si="94">J30-1</f>
        <v>167844862</v>
      </c>
      <c r="K32" s="2">
        <f t="shared" si="90"/>
        <v>10</v>
      </c>
      <c r="L32" s="2">
        <f t="shared" si="91"/>
        <v>1</v>
      </c>
      <c r="M32" s="2">
        <f t="shared" si="92"/>
        <v>27</v>
      </c>
      <c r="N32" s="2">
        <f t="shared" si="93"/>
        <v>254</v>
      </c>
      <c r="O32" s="2" t="str">
        <f t="shared" si="26"/>
        <v>00001010</v>
      </c>
      <c r="P32" s="2" t="str">
        <f t="shared" si="33"/>
        <v>00000001</v>
      </c>
      <c r="Q32" s="2" t="str">
        <f t="shared" si="34"/>
        <v>00011011</v>
      </c>
      <c r="R32" s="2" t="str">
        <f t="shared" si="35"/>
        <v>11111110</v>
      </c>
    </row>
    <row r="33" spans="1:18" x14ac:dyDescent="0.3">
      <c r="A33" s="12" t="str">
        <f t="shared" ref="A33:A40" si="95">"Подсеть "&amp;G33</f>
        <v xml:space="preserve">Подсеть </v>
      </c>
      <c r="B33" s="12" t="s">
        <v>8</v>
      </c>
      <c r="C33" s="12" t="str">
        <f t="shared" ref="C33:C40" si="96">IF(G33="","",_xlfn.BASE($G33,2,$C$6))</f>
        <v/>
      </c>
      <c r="D33" s="12" t="str">
        <f t="shared" si="36"/>
        <v/>
      </c>
      <c r="E33" s="12" t="str">
        <f t="shared" si="37"/>
        <v/>
      </c>
      <c r="F33" s="5"/>
      <c r="G33" s="2" t="str">
        <f t="shared" ref="G33" si="97">IF($C$5&gt;=H33,H33,"")</f>
        <v/>
      </c>
      <c r="H33" s="2">
        <v>6</v>
      </c>
      <c r="I33" s="2">
        <f t="shared" ref="I33" si="98">H33*2^($C$11)</f>
        <v>3072</v>
      </c>
      <c r="J33" s="2">
        <f t="shared" ref="J33" si="99">$K$5+I33</f>
        <v>167844864</v>
      </c>
      <c r="K33" s="2">
        <f t="shared" si="90"/>
        <v>10</v>
      </c>
      <c r="L33" s="2">
        <f t="shared" si="91"/>
        <v>1</v>
      </c>
      <c r="M33" s="2">
        <f t="shared" si="92"/>
        <v>28</v>
      </c>
      <c r="N33" s="2">
        <f t="shared" si="93"/>
        <v>0</v>
      </c>
      <c r="O33" s="2" t="str">
        <f t="shared" si="26"/>
        <v>00001010</v>
      </c>
      <c r="P33" s="2" t="str">
        <f t="shared" si="33"/>
        <v>00000001</v>
      </c>
      <c r="Q33" s="2" t="str">
        <f t="shared" si="34"/>
        <v>00011100</v>
      </c>
      <c r="R33" s="2" t="str">
        <f t="shared" si="35"/>
        <v>00000000</v>
      </c>
    </row>
    <row r="34" spans="1:18" x14ac:dyDescent="0.3">
      <c r="A34" s="12"/>
      <c r="B34" s="12" t="s">
        <v>9</v>
      </c>
      <c r="C34" s="12"/>
      <c r="D34" s="12" t="str">
        <f t="shared" si="36"/>
        <v/>
      </c>
      <c r="E34" s="12" t="str">
        <f t="shared" si="37"/>
        <v/>
      </c>
      <c r="F34" s="5"/>
      <c r="G34" s="2" t="str">
        <f t="shared" ref="G34:G40" si="100">G33</f>
        <v/>
      </c>
      <c r="J34" s="2">
        <f t="shared" ref="J34" si="101">K34*2^24+L34*2^16+M34*2^8+N34</f>
        <v>167845375</v>
      </c>
      <c r="K34" s="2">
        <f t="shared" ref="K34:K40" si="102">_xlfn.BITOR($L$9,K33)</f>
        <v>10</v>
      </c>
      <c r="L34" s="2">
        <f t="shared" ref="L34:L40" si="103">_xlfn.BITOR($M$9,L33)</f>
        <v>1</v>
      </c>
      <c r="M34" s="2">
        <f t="shared" ref="M34:M40" si="104">_xlfn.BITOR($N$9,M33)</f>
        <v>29</v>
      </c>
      <c r="N34" s="2">
        <f t="shared" ref="N34:N40" si="105">_xlfn.BITOR($O$9,N33)</f>
        <v>255</v>
      </c>
      <c r="O34" s="2" t="str">
        <f t="shared" si="26"/>
        <v>00001010</v>
      </c>
      <c r="P34" s="2" t="str">
        <f t="shared" si="33"/>
        <v>00000001</v>
      </c>
      <c r="Q34" s="2" t="str">
        <f t="shared" si="34"/>
        <v>00011101</v>
      </c>
      <c r="R34" s="2" t="str">
        <f t="shared" si="35"/>
        <v>11111111</v>
      </c>
    </row>
    <row r="35" spans="1:18" x14ac:dyDescent="0.3">
      <c r="A35" s="12"/>
      <c r="B35" s="12" t="s">
        <v>10</v>
      </c>
      <c r="C35" s="12"/>
      <c r="D35" s="12" t="str">
        <f t="shared" si="36"/>
        <v/>
      </c>
      <c r="E35" s="12" t="str">
        <f t="shared" si="37"/>
        <v/>
      </c>
      <c r="F35" s="5"/>
      <c r="G35" s="2" t="str">
        <f t="shared" si="100"/>
        <v/>
      </c>
      <c r="J35" s="2">
        <f t="shared" ref="J35" si="106">J33+1</f>
        <v>167844865</v>
      </c>
      <c r="K35" s="2">
        <f t="shared" ref="K35:K37" si="107">QUOTIENT(J35,2^24)</f>
        <v>10</v>
      </c>
      <c r="L35" s="2">
        <f t="shared" ref="L35:L40" si="108">QUOTIENT(MOD(J35,2^24),2^16)</f>
        <v>1</v>
      </c>
      <c r="M35" s="2">
        <f t="shared" ref="M35:M40" si="109">QUOTIENT(MOD(J35,2^16),2^8)</f>
        <v>28</v>
      </c>
      <c r="N35" s="2">
        <f t="shared" ref="N35:N40" si="110">MOD(J35,2^8)</f>
        <v>1</v>
      </c>
      <c r="O35" s="2" t="str">
        <f t="shared" si="26"/>
        <v>00001010</v>
      </c>
      <c r="P35" s="2" t="str">
        <f t="shared" si="33"/>
        <v>00000001</v>
      </c>
      <c r="Q35" s="2" t="str">
        <f t="shared" si="34"/>
        <v>00011100</v>
      </c>
      <c r="R35" s="2" t="str">
        <f t="shared" si="35"/>
        <v>00000001</v>
      </c>
    </row>
    <row r="36" spans="1:18" x14ac:dyDescent="0.3">
      <c r="A36" s="12"/>
      <c r="B36" s="12" t="s">
        <v>11</v>
      </c>
      <c r="C36" s="12"/>
      <c r="D36" s="12" t="str">
        <f t="shared" si="36"/>
        <v/>
      </c>
      <c r="E36" s="12" t="str">
        <f t="shared" si="37"/>
        <v/>
      </c>
      <c r="F36" s="5"/>
      <c r="G36" s="2" t="str">
        <f t="shared" si="100"/>
        <v/>
      </c>
      <c r="J36" s="2">
        <f t="shared" ref="J36" si="111">J34-1</f>
        <v>167845374</v>
      </c>
      <c r="K36" s="2">
        <f t="shared" si="107"/>
        <v>10</v>
      </c>
      <c r="L36" s="2">
        <f t="shared" si="108"/>
        <v>1</v>
      </c>
      <c r="M36" s="2">
        <f t="shared" si="109"/>
        <v>29</v>
      </c>
      <c r="N36" s="2">
        <f t="shared" si="110"/>
        <v>254</v>
      </c>
      <c r="O36" s="2" t="str">
        <f t="shared" si="26"/>
        <v>00001010</v>
      </c>
      <c r="P36" s="2" t="str">
        <f t="shared" si="33"/>
        <v>00000001</v>
      </c>
      <c r="Q36" s="2" t="str">
        <f t="shared" si="34"/>
        <v>00011101</v>
      </c>
      <c r="R36" s="2" t="str">
        <f t="shared" si="35"/>
        <v>11111110</v>
      </c>
    </row>
    <row r="37" spans="1:18" x14ac:dyDescent="0.3">
      <c r="A37" s="12" t="str">
        <f t="shared" ref="A37:A40" si="112">"Подсеть "&amp;G37</f>
        <v xml:space="preserve">Подсеть </v>
      </c>
      <c r="B37" s="12" t="s">
        <v>8</v>
      </c>
      <c r="C37" s="12" t="str">
        <f t="shared" ref="C37:C40" si="113">IF(G37="","",_xlfn.BASE($G37,2,$C$6))</f>
        <v/>
      </c>
      <c r="D37" s="12" t="str">
        <f t="shared" si="36"/>
        <v/>
      </c>
      <c r="E37" s="12" t="str">
        <f t="shared" si="37"/>
        <v/>
      </c>
      <c r="F37" s="5"/>
      <c r="G37" s="2" t="str">
        <f t="shared" ref="G37" si="114">IF($C$5&gt;=H37,H37,"")</f>
        <v/>
      </c>
      <c r="H37" s="2">
        <v>7</v>
      </c>
      <c r="I37" s="2">
        <f t="shared" ref="I37" si="115">H37*2^($C$11)</f>
        <v>3584</v>
      </c>
      <c r="J37" s="2">
        <f t="shared" ref="J37" si="116">$K$5+I37</f>
        <v>167845376</v>
      </c>
      <c r="K37" s="2">
        <f t="shared" si="107"/>
        <v>10</v>
      </c>
      <c r="L37" s="2">
        <f t="shared" si="108"/>
        <v>1</v>
      </c>
      <c r="M37" s="2">
        <f t="shared" si="109"/>
        <v>30</v>
      </c>
      <c r="N37" s="2">
        <f t="shared" si="110"/>
        <v>0</v>
      </c>
      <c r="O37" s="2" t="str">
        <f t="shared" si="26"/>
        <v>00001010</v>
      </c>
      <c r="P37" s="2" t="str">
        <f t="shared" si="33"/>
        <v>00000001</v>
      </c>
      <c r="Q37" s="2" t="str">
        <f t="shared" si="34"/>
        <v>00011110</v>
      </c>
      <c r="R37" s="2" t="str">
        <f t="shared" si="35"/>
        <v>00000000</v>
      </c>
    </row>
    <row r="38" spans="1:18" x14ac:dyDescent="0.3">
      <c r="A38" s="12"/>
      <c r="B38" s="12" t="s">
        <v>9</v>
      </c>
      <c r="C38" s="12"/>
      <c r="D38" s="12" t="str">
        <f t="shared" si="36"/>
        <v/>
      </c>
      <c r="E38" s="12" t="str">
        <f t="shared" si="37"/>
        <v/>
      </c>
      <c r="F38" s="5"/>
      <c r="G38" s="2" t="str">
        <f t="shared" ref="G38:G40" si="117">G37</f>
        <v/>
      </c>
      <c r="J38" s="2">
        <f t="shared" ref="J38" si="118">K38*2^24+L38*2^16+M38*2^8+N38</f>
        <v>167845887</v>
      </c>
      <c r="K38" s="2">
        <f t="shared" ref="K38:K40" si="119">_xlfn.BITOR($L$9,K37)</f>
        <v>10</v>
      </c>
      <c r="L38" s="2">
        <f t="shared" ref="L38:L40" si="120">_xlfn.BITOR($M$9,L37)</f>
        <v>1</v>
      </c>
      <c r="M38" s="2">
        <f t="shared" ref="M38:M40" si="121">_xlfn.BITOR($N$9,M37)</f>
        <v>31</v>
      </c>
      <c r="N38" s="2">
        <f t="shared" ref="N38:N40" si="122">_xlfn.BITOR($O$9,N37)</f>
        <v>255</v>
      </c>
      <c r="O38" s="2" t="str">
        <f t="shared" si="26"/>
        <v>00001010</v>
      </c>
      <c r="P38" s="2" t="str">
        <f t="shared" si="33"/>
        <v>00000001</v>
      </c>
      <c r="Q38" s="2" t="str">
        <f t="shared" si="34"/>
        <v>00011111</v>
      </c>
      <c r="R38" s="2" t="str">
        <f t="shared" si="35"/>
        <v>11111111</v>
      </c>
    </row>
    <row r="39" spans="1:18" x14ac:dyDescent="0.3">
      <c r="A39" s="12"/>
      <c r="B39" s="12" t="s">
        <v>10</v>
      </c>
      <c r="C39" s="12"/>
      <c r="D39" s="12" t="str">
        <f t="shared" si="36"/>
        <v/>
      </c>
      <c r="E39" s="12" t="str">
        <f t="shared" si="37"/>
        <v/>
      </c>
      <c r="F39" s="5"/>
      <c r="G39" s="2" t="str">
        <f t="shared" si="117"/>
        <v/>
      </c>
      <c r="J39" s="2">
        <f t="shared" ref="J39" si="123">J37+1</f>
        <v>167845377</v>
      </c>
      <c r="K39" s="2">
        <f t="shared" ref="K39:K40" si="124">QUOTIENT(J39,2^24)</f>
        <v>10</v>
      </c>
      <c r="L39" s="2">
        <f t="shared" ref="L39:L40" si="125">QUOTIENT(MOD(J39,2^24),2^16)</f>
        <v>1</v>
      </c>
      <c r="M39" s="2">
        <f t="shared" ref="M39:M40" si="126">QUOTIENT(MOD(J39,2^16),2^8)</f>
        <v>30</v>
      </c>
      <c r="N39" s="2">
        <f t="shared" ref="N39:N40" si="127">MOD(J39,2^8)</f>
        <v>1</v>
      </c>
      <c r="O39" s="2" t="str">
        <f t="shared" si="26"/>
        <v>00001010</v>
      </c>
      <c r="P39" s="2" t="str">
        <f t="shared" si="33"/>
        <v>00000001</v>
      </c>
      <c r="Q39" s="2" t="str">
        <f t="shared" si="34"/>
        <v>00011110</v>
      </c>
      <c r="R39" s="2" t="str">
        <f t="shared" si="35"/>
        <v>00000001</v>
      </c>
    </row>
    <row r="40" spans="1:18" x14ac:dyDescent="0.3">
      <c r="A40" s="12"/>
      <c r="B40" s="12" t="s">
        <v>11</v>
      </c>
      <c r="C40" s="12"/>
      <c r="D40" s="12" t="str">
        <f t="shared" si="36"/>
        <v/>
      </c>
      <c r="E40" s="12" t="str">
        <f t="shared" si="37"/>
        <v/>
      </c>
      <c r="F40" s="5"/>
      <c r="G40" s="2" t="str">
        <f t="shared" si="117"/>
        <v/>
      </c>
      <c r="J40" s="2">
        <f t="shared" ref="J40" si="128">J38-1</f>
        <v>167845886</v>
      </c>
      <c r="K40" s="2">
        <f t="shared" si="124"/>
        <v>10</v>
      </c>
      <c r="L40" s="2">
        <f t="shared" si="125"/>
        <v>1</v>
      </c>
      <c r="M40" s="2">
        <f t="shared" si="126"/>
        <v>31</v>
      </c>
      <c r="N40" s="2">
        <f t="shared" si="127"/>
        <v>254</v>
      </c>
      <c r="O40" s="2" t="str">
        <f t="shared" si="26"/>
        <v>00001010</v>
      </c>
      <c r="P40" s="2" t="str">
        <f t="shared" si="33"/>
        <v>00000001</v>
      </c>
      <c r="Q40" s="2" t="str">
        <f t="shared" si="34"/>
        <v>00011111</v>
      </c>
      <c r="R40" s="2" t="str">
        <f t="shared" si="35"/>
        <v>11111110</v>
      </c>
    </row>
    <row r="41" spans="1:18" x14ac:dyDescent="0.3">
      <c r="A41" s="5"/>
      <c r="B41" s="5"/>
      <c r="C41" s="5"/>
      <c r="D41" s="5"/>
      <c r="E41" s="5"/>
      <c r="F41" s="5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3" spans="1:1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">
      <c r="A49" s="1"/>
      <c r="B49" s="1"/>
      <c r="C49" s="1"/>
      <c r="D49" s="1"/>
      <c r="E49" s="1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B50" s="3"/>
      <c r="C50" s="3"/>
      <c r="D50" s="3"/>
      <c r="E50" s="3"/>
    </row>
    <row r="51" spans="1:18" x14ac:dyDescent="0.3">
      <c r="B51" s="3"/>
      <c r="C51" s="3"/>
      <c r="D51" s="3"/>
      <c r="E51" s="3"/>
    </row>
    <row r="52" spans="1:18" x14ac:dyDescent="0.3">
      <c r="B52" s="3"/>
      <c r="C52" s="3"/>
      <c r="D52" s="3"/>
      <c r="E52" s="3"/>
    </row>
    <row r="53" spans="1:18" x14ac:dyDescent="0.3">
      <c r="B53" s="3"/>
      <c r="C53" s="3"/>
      <c r="D53" s="3"/>
      <c r="E53" s="3"/>
    </row>
  </sheetData>
  <mergeCells count="19">
    <mergeCell ref="A2:B2"/>
    <mergeCell ref="C2:E2"/>
    <mergeCell ref="C3:E3"/>
    <mergeCell ref="C4:E4"/>
    <mergeCell ref="C5:E5"/>
    <mergeCell ref="C11:E11"/>
    <mergeCell ref="A11:B11"/>
    <mergeCell ref="A12:B12"/>
    <mergeCell ref="A10:B10"/>
    <mergeCell ref="C12:E12"/>
    <mergeCell ref="A1:E1"/>
    <mergeCell ref="A4:B4"/>
    <mergeCell ref="A5:B5"/>
    <mergeCell ref="A6:B6"/>
    <mergeCell ref="A3:B3"/>
    <mergeCell ref="C6:E6"/>
    <mergeCell ref="A7:B7"/>
    <mergeCell ref="A8:B8"/>
    <mergeCell ref="A9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33B5-3874-45B9-8A53-3AE7DD44B4FE}">
  <dimension ref="A1:R53"/>
  <sheetViews>
    <sheetView topLeftCell="A17" zoomScaleNormal="100" workbookViewId="0">
      <selection activeCell="E8" sqref="E8"/>
    </sheetView>
  </sheetViews>
  <sheetFormatPr defaultRowHeight="14.4" x14ac:dyDescent="0.3"/>
  <cols>
    <col min="1" max="1" width="11.88671875" style="2" customWidth="1"/>
    <col min="2" max="2" width="8.33203125" style="2" customWidth="1"/>
    <col min="3" max="3" width="11.44140625" style="2" bestFit="1" customWidth="1"/>
    <col min="4" max="4" width="14.77734375" style="2" bestFit="1" customWidth="1"/>
    <col min="5" max="5" width="39" style="2" bestFit="1" customWidth="1"/>
    <col min="6" max="6" width="2.6640625" style="7" customWidth="1"/>
    <col min="7" max="7" width="13.44140625" style="2" bestFit="1" customWidth="1"/>
    <col min="8" max="9" width="9" style="2" bestFit="1" customWidth="1"/>
    <col min="10" max="11" width="10" style="2" bestFit="1" customWidth="1"/>
    <col min="12" max="14" width="9" style="2" bestFit="1" customWidth="1"/>
    <col min="15" max="15" width="10.88671875" style="2" customWidth="1"/>
    <col min="16" max="16" width="10" style="2" bestFit="1" customWidth="1"/>
    <col min="17" max="17" width="10.33203125" style="2" customWidth="1"/>
    <col min="18" max="16384" width="8.88671875" style="2"/>
  </cols>
  <sheetData>
    <row r="1" spans="1:18" ht="15.6" x14ac:dyDescent="0.3">
      <c r="A1" s="17" t="s">
        <v>14</v>
      </c>
      <c r="B1" s="17"/>
      <c r="C1" s="17"/>
      <c r="D1" s="17"/>
      <c r="E1" s="17"/>
      <c r="F1" s="5"/>
    </row>
    <row r="2" spans="1:18" ht="15.6" x14ac:dyDescent="0.3">
      <c r="A2" s="17" t="s">
        <v>2</v>
      </c>
      <c r="B2" s="17"/>
      <c r="C2" s="17" t="s">
        <v>4</v>
      </c>
      <c r="D2" s="17"/>
      <c r="E2" s="17"/>
      <c r="F2" s="5"/>
    </row>
    <row r="3" spans="1:18" ht="15.6" x14ac:dyDescent="0.3">
      <c r="A3" s="18" t="s">
        <v>15</v>
      </c>
      <c r="B3" s="18"/>
      <c r="C3" s="19">
        <v>8</v>
      </c>
      <c r="D3" s="19"/>
      <c r="E3" s="19"/>
      <c r="F3" s="4"/>
      <c r="G3" s="6">
        <v>0</v>
      </c>
      <c r="H3" s="7">
        <f>FIND(".",$C4,1)</f>
        <v>4</v>
      </c>
      <c r="I3" s="7">
        <f>FIND(".",$C4,H3+1)</f>
        <v>8</v>
      </c>
      <c r="J3" s="7">
        <f>FIND(".",$C4,I3+1)</f>
        <v>10</v>
      </c>
      <c r="K3" s="7">
        <f>FIND("/",$C4,J3+1)</f>
        <v>12</v>
      </c>
      <c r="L3" s="7">
        <f>LEN(C4)+1</f>
        <v>15</v>
      </c>
      <c r="N3" s="7" t="str">
        <f>MID($C4,K3+1,L3-K3-1)</f>
        <v>16</v>
      </c>
      <c r="O3" s="7" t="str">
        <f>_xlfn.BASE(2^32-POWER(2,32-N3),2,32)</f>
        <v>11111111111111110000000000000000</v>
      </c>
    </row>
    <row r="4" spans="1:18" ht="15.6" x14ac:dyDescent="0.3">
      <c r="A4" s="18" t="s">
        <v>1</v>
      </c>
      <c r="B4" s="18"/>
      <c r="C4" s="19" t="s">
        <v>12</v>
      </c>
      <c r="D4" s="19"/>
      <c r="E4" s="19"/>
      <c r="F4" s="5"/>
      <c r="N4" s="2">
        <f>N3+C6</f>
        <v>19</v>
      </c>
      <c r="O4" s="7" t="str">
        <f>_xlfn.BASE(2^32-POWER(2,32-N4),2,32)</f>
        <v>11111111111111111110000000000000</v>
      </c>
    </row>
    <row r="5" spans="1:18" ht="15.6" x14ac:dyDescent="0.3">
      <c r="A5" s="18" t="s">
        <v>3</v>
      </c>
      <c r="B5" s="18"/>
      <c r="C5" s="19">
        <v>4</v>
      </c>
      <c r="D5" s="19"/>
      <c r="E5" s="19"/>
      <c r="F5" s="5"/>
      <c r="G5" s="2" t="str">
        <f>MID($C4,G3+1,H3-G3-1)</f>
        <v>169</v>
      </c>
      <c r="H5" s="2" t="str">
        <f>MID($C4,H3+1,I3-H3-1)</f>
        <v>254</v>
      </c>
      <c r="I5" s="2" t="str">
        <f>MID($C4,I3+1,J3-I3-1)</f>
        <v>0</v>
      </c>
      <c r="J5" s="2" t="str">
        <f>MID($C4,J3+1,K3-J3-1)</f>
        <v>0</v>
      </c>
      <c r="K5" s="2">
        <f>G5*2^24+H5*2^16+I5*2^8+J5</f>
        <v>2851995648</v>
      </c>
    </row>
    <row r="6" spans="1:18" ht="15.6" x14ac:dyDescent="0.3">
      <c r="A6" s="18" t="s">
        <v>16</v>
      </c>
      <c r="B6" s="18"/>
      <c r="C6" s="20">
        <f>ROUNDUP(LOG(C5+1,2),0)</f>
        <v>3</v>
      </c>
      <c r="D6" s="21"/>
      <c r="E6" s="22"/>
      <c r="F6" s="8"/>
      <c r="G6" s="2" t="str">
        <f>_xlfn.BASE(G5,2,8)</f>
        <v>10101001</v>
      </c>
      <c r="H6" s="2" t="str">
        <f t="shared" ref="H6:J6" si="0">_xlfn.BASE(H5,2,8)</f>
        <v>11111110</v>
      </c>
      <c r="I6" s="2" t="str">
        <f t="shared" si="0"/>
        <v>00000000</v>
      </c>
      <c r="J6" s="2" t="str">
        <f t="shared" si="0"/>
        <v>00000000</v>
      </c>
    </row>
    <row r="7" spans="1:18" ht="15.6" x14ac:dyDescent="0.3">
      <c r="A7" s="18" t="s">
        <v>19</v>
      </c>
      <c r="B7" s="18"/>
      <c r="C7" s="23"/>
      <c r="D7" s="23" t="str">
        <f>G5&amp;"."&amp;H5&amp;"."&amp;I5&amp;"."&amp;J5</f>
        <v>169.254.0.0</v>
      </c>
      <c r="E7" s="23" t="str">
        <f>G6&amp;"."&amp;H6&amp;"."&amp;I6&amp;"."&amp;J6</f>
        <v>10101001.11111110.00000000.00000000</v>
      </c>
      <c r="F7" s="5"/>
      <c r="L7" s="2">
        <f>_xlfn.DECIMAL(L8,2)</f>
        <v>255</v>
      </c>
      <c r="M7" s="2">
        <f t="shared" ref="M7:O7" si="1">_xlfn.DECIMAL(M8,2)</f>
        <v>255</v>
      </c>
      <c r="N7" s="2">
        <f t="shared" si="1"/>
        <v>224</v>
      </c>
      <c r="O7" s="2">
        <f t="shared" si="1"/>
        <v>0</v>
      </c>
    </row>
    <row r="8" spans="1:18" ht="15.6" x14ac:dyDescent="0.3">
      <c r="A8" s="18" t="s">
        <v>18</v>
      </c>
      <c r="B8" s="18"/>
      <c r="C8" s="23" t="str">
        <f>N3</f>
        <v>16</v>
      </c>
      <c r="D8" s="23" t="str">
        <f>G8&amp;"."&amp;H8&amp;"."&amp;I8&amp;"."&amp;J8</f>
        <v>255.255.0.0</v>
      </c>
      <c r="E8" s="23" t="str">
        <f>G9&amp;"."&amp;H9&amp;"."&amp;I9&amp;"."&amp;J9</f>
        <v>11111111.11111111.00000000.00000000</v>
      </c>
      <c r="F8" s="5"/>
      <c r="G8" s="2">
        <f>_xlfn.DECIMAL(G9,2)</f>
        <v>255</v>
      </c>
      <c r="H8" s="2">
        <f t="shared" ref="H8:J8" si="2">_xlfn.DECIMAL(H9,2)</f>
        <v>255</v>
      </c>
      <c r="I8" s="2">
        <f t="shared" si="2"/>
        <v>0</v>
      </c>
      <c r="J8" s="2">
        <f t="shared" si="2"/>
        <v>0</v>
      </c>
      <c r="L8" s="2" t="str">
        <f>MID($O4,1,8)</f>
        <v>11111111</v>
      </c>
      <c r="M8" s="2" t="str">
        <f>MID($O4,9,8)</f>
        <v>11111111</v>
      </c>
      <c r="N8" s="2" t="str">
        <f>MID($O4,17,8)</f>
        <v>11100000</v>
      </c>
      <c r="O8" s="2" t="str">
        <f>MID($O4,25,8)</f>
        <v>00000000</v>
      </c>
    </row>
    <row r="9" spans="1:18" ht="15.6" x14ac:dyDescent="0.3">
      <c r="A9" s="18" t="s">
        <v>5</v>
      </c>
      <c r="B9" s="18"/>
      <c r="C9" s="23">
        <f>N4</f>
        <v>19</v>
      </c>
      <c r="D9" s="23" t="str">
        <f>L7&amp;"."&amp;M7&amp;"."&amp;N7&amp;"."&amp;O7</f>
        <v>255.255.224.0</v>
      </c>
      <c r="E9" s="23" t="str">
        <f>L8&amp;"."&amp;M8&amp;"."&amp;N8&amp;"."&amp;O8</f>
        <v>11111111.11111111.11100000.00000000</v>
      </c>
      <c r="F9" s="5"/>
      <c r="G9" s="2" t="str">
        <f>MID($O3,1,8)</f>
        <v>11111111</v>
      </c>
      <c r="H9" s="2" t="str">
        <f>MID($O3,9,8)</f>
        <v>11111111</v>
      </c>
      <c r="I9" s="2" t="str">
        <f>MID($O3,17,8)</f>
        <v>00000000</v>
      </c>
      <c r="J9" s="2" t="str">
        <f>MID($O3,25,8)</f>
        <v>00000000</v>
      </c>
      <c r="L9" s="2">
        <f>255-L7</f>
        <v>0</v>
      </c>
      <c r="M9" s="2">
        <f t="shared" ref="M9:O9" si="3">255-M7</f>
        <v>0</v>
      </c>
      <c r="N9" s="2">
        <f t="shared" si="3"/>
        <v>31</v>
      </c>
      <c r="O9" s="2">
        <f t="shared" si="3"/>
        <v>255</v>
      </c>
    </row>
    <row r="10" spans="1:18" ht="15.6" x14ac:dyDescent="0.3">
      <c r="A10" s="18" t="s">
        <v>17</v>
      </c>
      <c r="B10" s="18"/>
      <c r="C10" s="23"/>
      <c r="D10" s="23" t="str">
        <f>L9&amp;"."&amp;M9&amp;"."&amp;N9&amp;"."&amp;O9</f>
        <v>0.0.31.255</v>
      </c>
      <c r="E10" s="23" t="str">
        <f>L10&amp;"."&amp;M10&amp;"."&amp;N10&amp;"."&amp;O10</f>
        <v>00000000.00000000.00011111.11111111</v>
      </c>
      <c r="F10" s="5"/>
      <c r="L10" s="2" t="str">
        <f>_xlfn.BASE(L9,2,8)</f>
        <v>00000000</v>
      </c>
      <c r="M10" s="2" t="str">
        <f t="shared" ref="M10:O10" si="4">_xlfn.BASE(M9,2,8)</f>
        <v>00000000</v>
      </c>
      <c r="N10" s="2" t="str">
        <f t="shared" si="4"/>
        <v>00011111</v>
      </c>
      <c r="O10" s="2" t="str">
        <f t="shared" si="4"/>
        <v>11111111</v>
      </c>
    </row>
    <row r="11" spans="1:18" ht="15.6" x14ac:dyDescent="0.3">
      <c r="A11" s="18" t="s">
        <v>6</v>
      </c>
      <c r="B11" s="18"/>
      <c r="C11" s="20">
        <f>32-C9</f>
        <v>13</v>
      </c>
      <c r="D11" s="21"/>
      <c r="E11" s="22"/>
      <c r="F11" s="5"/>
    </row>
    <row r="12" spans="1:18" ht="15.6" x14ac:dyDescent="0.3">
      <c r="A12" s="18" t="s">
        <v>7</v>
      </c>
      <c r="B12" s="18"/>
      <c r="C12" s="20">
        <f>2^C11-2</f>
        <v>8190</v>
      </c>
      <c r="D12" s="21"/>
      <c r="E12" s="22"/>
      <c r="F12" s="5"/>
    </row>
    <row r="13" spans="1:18" ht="15.6" x14ac:dyDescent="0.3">
      <c r="A13" s="23" t="str">
        <f>"Подсеть "&amp;G13</f>
        <v>Подсеть 1</v>
      </c>
      <c r="B13" s="23" t="s">
        <v>8</v>
      </c>
      <c r="C13" s="23" t="str">
        <f t="shared" ref="C13" si="5">IF(G13="","",_xlfn.BASE($G13,2,$C$6))</f>
        <v>001</v>
      </c>
      <c r="D13" s="23" t="str">
        <f t="shared" ref="D13:D40" si="6">IF(G13="","",K13&amp;"."&amp;L13&amp;"."&amp;M13&amp;"."&amp;N13)</f>
        <v>169.254.32.0</v>
      </c>
      <c r="E13" s="23" t="str">
        <f>IF(G13="","",O13&amp;"."&amp;P13&amp;"."&amp;Q13&amp;"."&amp;R13)</f>
        <v>10101001.11111110.00100000.00000000</v>
      </c>
      <c r="F13" s="5"/>
      <c r="G13" s="2">
        <f>IF($C$5&gt;=H13,H13,"")</f>
        <v>1</v>
      </c>
      <c r="H13" s="2">
        <v>1</v>
      </c>
      <c r="I13" s="2">
        <f>H13*2^($C$11)</f>
        <v>8192</v>
      </c>
      <c r="J13" s="2">
        <f>$K$5+I13</f>
        <v>2852003840</v>
      </c>
      <c r="K13" s="2">
        <f>QUOTIENT(J13,2^24)</f>
        <v>169</v>
      </c>
      <c r="L13" s="2">
        <f>QUOTIENT(MOD(J13,2^24),2^16)</f>
        <v>254</v>
      </c>
      <c r="M13" s="2">
        <f>QUOTIENT(MOD(J13,2^16),2^8)</f>
        <v>32</v>
      </c>
      <c r="N13" s="2">
        <f>MOD(J13,2^8)</f>
        <v>0</v>
      </c>
      <c r="O13" s="2" t="str">
        <f>_xlfn.BASE(K13,2,8)</f>
        <v>10101001</v>
      </c>
      <c r="P13" s="2" t="str">
        <f t="shared" ref="P13:R28" si="7">_xlfn.BASE(L13,2,8)</f>
        <v>11111110</v>
      </c>
      <c r="Q13" s="2" t="str">
        <f t="shared" si="7"/>
        <v>00100000</v>
      </c>
      <c r="R13" s="2" t="str">
        <f t="shared" si="7"/>
        <v>00000000</v>
      </c>
    </row>
    <row r="14" spans="1:18" ht="15.6" x14ac:dyDescent="0.3">
      <c r="A14" s="23"/>
      <c r="B14" s="23" t="s">
        <v>9</v>
      </c>
      <c r="C14" s="23"/>
      <c r="D14" s="23" t="str">
        <f t="shared" si="6"/>
        <v>169.254.63.255</v>
      </c>
      <c r="E14" s="23" t="str">
        <f>IF(G14="","",O14&amp;"."&amp;P14&amp;"."&amp;Q14&amp;"."&amp;R14)</f>
        <v>10101001.11111110.00111111.11111111</v>
      </c>
      <c r="F14" s="5"/>
      <c r="G14" s="2">
        <f>G13</f>
        <v>1</v>
      </c>
      <c r="J14" s="2">
        <f>K14*2^24+L14*2^16+M14*2^8+N14</f>
        <v>2852012031</v>
      </c>
      <c r="K14" s="2">
        <f>_xlfn.BITOR($L$9,K13)</f>
        <v>169</v>
      </c>
      <c r="L14" s="2">
        <f>_xlfn.BITOR($M$9,L13)</f>
        <v>254</v>
      </c>
      <c r="M14" s="2">
        <f>_xlfn.BITOR($N$9,M13)</f>
        <v>63</v>
      </c>
      <c r="N14" s="2">
        <f>_xlfn.BITOR($O$9,N13)</f>
        <v>255</v>
      </c>
      <c r="O14" s="2" t="str">
        <f>_xlfn.BASE(K14,2,8)</f>
        <v>10101001</v>
      </c>
      <c r="P14" s="2" t="str">
        <f t="shared" si="7"/>
        <v>11111110</v>
      </c>
      <c r="Q14" s="2" t="str">
        <f t="shared" si="7"/>
        <v>00111111</v>
      </c>
      <c r="R14" s="2" t="str">
        <f t="shared" si="7"/>
        <v>11111111</v>
      </c>
    </row>
    <row r="15" spans="1:18" ht="15.6" x14ac:dyDescent="0.3">
      <c r="A15" s="23"/>
      <c r="B15" s="23" t="s">
        <v>10</v>
      </c>
      <c r="C15" s="23"/>
      <c r="D15" s="23" t="str">
        <f t="shared" si="6"/>
        <v>169.254.32.1</v>
      </c>
      <c r="E15" s="23" t="str">
        <f t="shared" ref="E15:E40" si="8">IF(G15="","",O15&amp;"."&amp;P15&amp;"."&amp;Q15&amp;"."&amp;R15)</f>
        <v>10101001.11111110.00100000.00000001</v>
      </c>
      <c r="F15" s="5"/>
      <c r="G15" s="2">
        <f t="shared" ref="G15:G16" si="9">G14</f>
        <v>1</v>
      </c>
      <c r="J15" s="2">
        <f>J13+1</f>
        <v>2852003841</v>
      </c>
      <c r="K15" s="2">
        <f>QUOTIENT(J15,2^24)</f>
        <v>169</v>
      </c>
      <c r="L15" s="2">
        <f>QUOTIENT(MOD(J15,2^24),2^16)</f>
        <v>254</v>
      </c>
      <c r="M15" s="2">
        <f>QUOTIENT(MOD(J15,2^16),2^8)</f>
        <v>32</v>
      </c>
      <c r="N15" s="2">
        <f>MOD(J15,2^8)</f>
        <v>1</v>
      </c>
      <c r="O15" s="2" t="str">
        <f>_xlfn.BASE(K15,2,8)</f>
        <v>10101001</v>
      </c>
      <c r="P15" s="2" t="str">
        <f t="shared" si="7"/>
        <v>11111110</v>
      </c>
      <c r="Q15" s="2" t="str">
        <f t="shared" si="7"/>
        <v>00100000</v>
      </c>
      <c r="R15" s="2" t="str">
        <f t="shared" si="7"/>
        <v>00000001</v>
      </c>
    </row>
    <row r="16" spans="1:18" ht="15.6" x14ac:dyDescent="0.3">
      <c r="A16" s="23"/>
      <c r="B16" s="23" t="s">
        <v>11</v>
      </c>
      <c r="C16" s="23"/>
      <c r="D16" s="23" t="str">
        <f t="shared" si="6"/>
        <v>169.254.63.254</v>
      </c>
      <c r="E16" s="23" t="str">
        <f t="shared" si="8"/>
        <v>10101001.11111110.00111111.11111110</v>
      </c>
      <c r="F16" s="5"/>
      <c r="G16" s="2">
        <f t="shared" si="9"/>
        <v>1</v>
      </c>
      <c r="J16" s="2">
        <f>J14-1</f>
        <v>2852012030</v>
      </c>
      <c r="K16" s="2">
        <f>QUOTIENT(J16,2^24)</f>
        <v>169</v>
      </c>
      <c r="L16" s="2">
        <f>QUOTIENT(MOD(J16,2^24),2^16)</f>
        <v>254</v>
      </c>
      <c r="M16" s="2">
        <f>QUOTIENT(MOD(J16,2^16),2^8)</f>
        <v>63</v>
      </c>
      <c r="N16" s="2">
        <f>MOD(J16,2^8)</f>
        <v>254</v>
      </c>
      <c r="O16" s="2" t="str">
        <f>_xlfn.BASE(K16,2,8)</f>
        <v>10101001</v>
      </c>
      <c r="P16" s="2" t="str">
        <f t="shared" si="7"/>
        <v>11111110</v>
      </c>
      <c r="Q16" s="2" t="str">
        <f t="shared" si="7"/>
        <v>00111111</v>
      </c>
      <c r="R16" s="2" t="str">
        <f t="shared" si="7"/>
        <v>11111110</v>
      </c>
    </row>
    <row r="17" spans="1:18" ht="15.6" x14ac:dyDescent="0.3">
      <c r="A17" s="23" t="str">
        <f t="shared" ref="A17:A40" si="10">"Подсеть "&amp;G17</f>
        <v>Подсеть 2</v>
      </c>
      <c r="B17" s="23" t="s">
        <v>8</v>
      </c>
      <c r="C17" s="23" t="str">
        <f t="shared" ref="C17:C40" si="11">IF(G17="","",_xlfn.BASE($G17,2,$C$6))</f>
        <v>010</v>
      </c>
      <c r="D17" s="23" t="str">
        <f t="shared" si="6"/>
        <v>169.254.64.0</v>
      </c>
      <c r="E17" s="23" t="str">
        <f t="shared" si="8"/>
        <v>10101001.11111110.01000000.00000000</v>
      </c>
      <c r="F17" s="5"/>
      <c r="G17" s="2">
        <f t="shared" ref="G17" si="12">IF($C$5&gt;=H17,H17,"")</f>
        <v>2</v>
      </c>
      <c r="H17" s="2">
        <v>2</v>
      </c>
      <c r="I17" s="2">
        <f t="shared" ref="I17" si="13">H17*2^($C$11)</f>
        <v>16384</v>
      </c>
      <c r="J17" s="2">
        <f t="shared" ref="J17" si="14">$K$5+I17</f>
        <v>2852012032</v>
      </c>
      <c r="K17" s="2">
        <f t="shared" ref="K17" si="15">QUOTIENT(J17,2^24)</f>
        <v>169</v>
      </c>
      <c r="L17" s="2">
        <f t="shared" ref="L17:L40" si="16">QUOTIENT(MOD(J17,2^24),2^16)</f>
        <v>254</v>
      </c>
      <c r="M17" s="2">
        <f t="shared" ref="M17:M40" si="17">QUOTIENT(MOD(J17,2^16),2^8)</f>
        <v>64</v>
      </c>
      <c r="N17" s="2">
        <f t="shared" ref="N17:N40" si="18">MOD(J17,2^8)</f>
        <v>0</v>
      </c>
      <c r="O17" s="2" t="str">
        <f t="shared" ref="O17:R40" si="19">_xlfn.BASE(K17,2,8)</f>
        <v>10101001</v>
      </c>
      <c r="P17" s="2" t="str">
        <f t="shared" si="7"/>
        <v>11111110</v>
      </c>
      <c r="Q17" s="2" t="str">
        <f t="shared" si="7"/>
        <v>01000000</v>
      </c>
      <c r="R17" s="2" t="str">
        <f t="shared" si="7"/>
        <v>00000000</v>
      </c>
    </row>
    <row r="18" spans="1:18" ht="15.6" x14ac:dyDescent="0.3">
      <c r="A18" s="23"/>
      <c r="B18" s="23" t="s">
        <v>9</v>
      </c>
      <c r="C18" s="23"/>
      <c r="D18" s="23" t="str">
        <f t="shared" si="6"/>
        <v>169.254.95.255</v>
      </c>
      <c r="E18" s="23" t="str">
        <f t="shared" si="8"/>
        <v>10101001.11111110.01011111.11111111</v>
      </c>
      <c r="F18" s="5"/>
      <c r="G18" s="2">
        <f t="shared" ref="G18:G40" si="20">G17</f>
        <v>2</v>
      </c>
      <c r="J18" s="2">
        <f t="shared" ref="J18" si="21">K18*2^24+L18*2^16+M18*2^8+N18</f>
        <v>2852020223</v>
      </c>
      <c r="K18" s="2">
        <f t="shared" ref="K18:K40" si="22">_xlfn.BITOR($L$9,K17)</f>
        <v>169</v>
      </c>
      <c r="L18" s="2">
        <f t="shared" ref="L18:L40" si="23">_xlfn.BITOR($M$9,L17)</f>
        <v>254</v>
      </c>
      <c r="M18" s="2">
        <f t="shared" ref="M18:M40" si="24">_xlfn.BITOR($N$9,M17)</f>
        <v>95</v>
      </c>
      <c r="N18" s="2">
        <f t="shared" ref="N18:N40" si="25">_xlfn.BITOR($O$9,N17)</f>
        <v>255</v>
      </c>
      <c r="O18" s="2" t="str">
        <f t="shared" si="19"/>
        <v>10101001</v>
      </c>
      <c r="P18" s="2" t="str">
        <f t="shared" si="7"/>
        <v>11111110</v>
      </c>
      <c r="Q18" s="2" t="str">
        <f t="shared" si="7"/>
        <v>01011111</v>
      </c>
      <c r="R18" s="2" t="str">
        <f t="shared" si="7"/>
        <v>11111111</v>
      </c>
    </row>
    <row r="19" spans="1:18" ht="15.6" x14ac:dyDescent="0.3">
      <c r="A19" s="23"/>
      <c r="B19" s="23" t="s">
        <v>10</v>
      </c>
      <c r="C19" s="23"/>
      <c r="D19" s="23" t="str">
        <f t="shared" si="6"/>
        <v>169.254.64.1</v>
      </c>
      <c r="E19" s="23" t="str">
        <f t="shared" si="8"/>
        <v>10101001.11111110.01000000.00000001</v>
      </c>
      <c r="F19" s="5"/>
      <c r="G19" s="2">
        <f t="shared" si="20"/>
        <v>2</v>
      </c>
      <c r="J19" s="2">
        <f t="shared" ref="J19" si="26">J17+1</f>
        <v>2852012033</v>
      </c>
      <c r="K19" s="2">
        <f t="shared" ref="K19:K21" si="27">QUOTIENT(J19,2^24)</f>
        <v>169</v>
      </c>
      <c r="L19" s="2">
        <f t="shared" ref="L19:L40" si="28">QUOTIENT(MOD(J19,2^24),2^16)</f>
        <v>254</v>
      </c>
      <c r="M19" s="2">
        <f t="shared" ref="M19:M40" si="29">QUOTIENT(MOD(J19,2^16),2^8)</f>
        <v>64</v>
      </c>
      <c r="N19" s="2">
        <f t="shared" ref="N19:N40" si="30">MOD(J19,2^8)</f>
        <v>1</v>
      </c>
      <c r="O19" s="2" t="str">
        <f t="shared" si="19"/>
        <v>10101001</v>
      </c>
      <c r="P19" s="2" t="str">
        <f t="shared" si="7"/>
        <v>11111110</v>
      </c>
      <c r="Q19" s="2" t="str">
        <f t="shared" si="7"/>
        <v>01000000</v>
      </c>
      <c r="R19" s="2" t="str">
        <f t="shared" si="7"/>
        <v>00000001</v>
      </c>
    </row>
    <row r="20" spans="1:18" ht="15.6" x14ac:dyDescent="0.3">
      <c r="A20" s="23"/>
      <c r="B20" s="23" t="s">
        <v>11</v>
      </c>
      <c r="C20" s="23"/>
      <c r="D20" s="23" t="str">
        <f t="shared" si="6"/>
        <v>169.254.95.254</v>
      </c>
      <c r="E20" s="23" t="str">
        <f t="shared" si="8"/>
        <v>10101001.11111110.01011111.11111110</v>
      </c>
      <c r="F20" s="5"/>
      <c r="G20" s="2">
        <f t="shared" si="20"/>
        <v>2</v>
      </c>
      <c r="J20" s="2">
        <f t="shared" ref="J20" si="31">J18-1</f>
        <v>2852020222</v>
      </c>
      <c r="K20" s="2">
        <f t="shared" si="27"/>
        <v>169</v>
      </c>
      <c r="L20" s="2">
        <f t="shared" si="28"/>
        <v>254</v>
      </c>
      <c r="M20" s="2">
        <f t="shared" si="29"/>
        <v>95</v>
      </c>
      <c r="N20" s="2">
        <f t="shared" si="30"/>
        <v>254</v>
      </c>
      <c r="O20" s="2" t="str">
        <f t="shared" si="19"/>
        <v>10101001</v>
      </c>
      <c r="P20" s="2" t="str">
        <f t="shared" si="7"/>
        <v>11111110</v>
      </c>
      <c r="Q20" s="2" t="str">
        <f t="shared" si="7"/>
        <v>01011111</v>
      </c>
      <c r="R20" s="2" t="str">
        <f t="shared" si="7"/>
        <v>11111110</v>
      </c>
    </row>
    <row r="21" spans="1:18" ht="15.6" x14ac:dyDescent="0.3">
      <c r="A21" s="23" t="str">
        <f t="shared" ref="A21:A40" si="32">"Подсеть "&amp;G21</f>
        <v>Подсеть 3</v>
      </c>
      <c r="B21" s="23" t="s">
        <v>8</v>
      </c>
      <c r="C21" s="23" t="str">
        <f t="shared" ref="C21:C40" si="33">IF(G21="","",_xlfn.BASE($G21,2,$C$6))</f>
        <v>011</v>
      </c>
      <c r="D21" s="23" t="str">
        <f t="shared" si="6"/>
        <v>169.254.96.0</v>
      </c>
      <c r="E21" s="23" t="str">
        <f t="shared" si="8"/>
        <v>10101001.11111110.01100000.00000000</v>
      </c>
      <c r="F21" s="5"/>
      <c r="G21" s="2">
        <f t="shared" ref="G21" si="34">IF($C$5&gt;=H21,H21,"")</f>
        <v>3</v>
      </c>
      <c r="H21" s="2">
        <v>3</v>
      </c>
      <c r="I21" s="2">
        <f t="shared" ref="I21" si="35">H21*2^($C$11)</f>
        <v>24576</v>
      </c>
      <c r="J21" s="2">
        <f t="shared" ref="J21" si="36">$K$5+I21</f>
        <v>2852020224</v>
      </c>
      <c r="K21" s="2">
        <f t="shared" si="27"/>
        <v>169</v>
      </c>
      <c r="L21" s="2">
        <f t="shared" si="28"/>
        <v>254</v>
      </c>
      <c r="M21" s="2">
        <f t="shared" si="29"/>
        <v>96</v>
      </c>
      <c r="N21" s="2">
        <f t="shared" si="30"/>
        <v>0</v>
      </c>
      <c r="O21" s="2" t="str">
        <f t="shared" si="19"/>
        <v>10101001</v>
      </c>
      <c r="P21" s="2" t="str">
        <f t="shared" si="7"/>
        <v>11111110</v>
      </c>
      <c r="Q21" s="2" t="str">
        <f t="shared" si="7"/>
        <v>01100000</v>
      </c>
      <c r="R21" s="2" t="str">
        <f t="shared" si="7"/>
        <v>00000000</v>
      </c>
    </row>
    <row r="22" spans="1:18" ht="15.6" x14ac:dyDescent="0.3">
      <c r="A22" s="23"/>
      <c r="B22" s="23" t="s">
        <v>9</v>
      </c>
      <c r="C22" s="23"/>
      <c r="D22" s="23" t="str">
        <f t="shared" si="6"/>
        <v>169.254.127.255</v>
      </c>
      <c r="E22" s="23" t="str">
        <f t="shared" si="8"/>
        <v>10101001.11111110.01111111.11111111</v>
      </c>
      <c r="F22" s="5"/>
      <c r="G22" s="2">
        <f t="shared" ref="G22:G40" si="37">G21</f>
        <v>3</v>
      </c>
      <c r="J22" s="2">
        <f t="shared" ref="J22" si="38">K22*2^24+L22*2^16+M22*2^8+N22</f>
        <v>2852028415</v>
      </c>
      <c r="K22" s="2">
        <f t="shared" ref="K22:K40" si="39">_xlfn.BITOR($L$9,K21)</f>
        <v>169</v>
      </c>
      <c r="L22" s="2">
        <f t="shared" ref="L22:L40" si="40">_xlfn.BITOR($M$9,L21)</f>
        <v>254</v>
      </c>
      <c r="M22" s="2">
        <f t="shared" ref="M22:M40" si="41">_xlfn.BITOR($N$9,M21)</f>
        <v>127</v>
      </c>
      <c r="N22" s="2">
        <f t="shared" ref="N22:N40" si="42">_xlfn.BITOR($O$9,N21)</f>
        <v>255</v>
      </c>
      <c r="O22" s="2" t="str">
        <f t="shared" si="19"/>
        <v>10101001</v>
      </c>
      <c r="P22" s="2" t="str">
        <f t="shared" si="7"/>
        <v>11111110</v>
      </c>
      <c r="Q22" s="2" t="str">
        <f t="shared" si="7"/>
        <v>01111111</v>
      </c>
      <c r="R22" s="2" t="str">
        <f t="shared" si="7"/>
        <v>11111111</v>
      </c>
    </row>
    <row r="23" spans="1:18" ht="15.6" x14ac:dyDescent="0.3">
      <c r="A23" s="23"/>
      <c r="B23" s="23" t="s">
        <v>10</v>
      </c>
      <c r="C23" s="23"/>
      <c r="D23" s="23" t="str">
        <f t="shared" si="6"/>
        <v>169.254.96.1</v>
      </c>
      <c r="E23" s="23" t="str">
        <f t="shared" si="8"/>
        <v>10101001.11111110.01100000.00000001</v>
      </c>
      <c r="F23" s="5"/>
      <c r="G23" s="2">
        <f t="shared" si="37"/>
        <v>3</v>
      </c>
      <c r="J23" s="2">
        <f t="shared" ref="J23" si="43">J21+1</f>
        <v>2852020225</v>
      </c>
      <c r="K23" s="2">
        <f t="shared" ref="K23:K25" si="44">QUOTIENT(J23,2^24)</f>
        <v>169</v>
      </c>
      <c r="L23" s="2">
        <f t="shared" ref="L23:L40" si="45">QUOTIENT(MOD(J23,2^24),2^16)</f>
        <v>254</v>
      </c>
      <c r="M23" s="2">
        <f t="shared" ref="M23:M40" si="46">QUOTIENT(MOD(J23,2^16),2^8)</f>
        <v>96</v>
      </c>
      <c r="N23" s="2">
        <f t="shared" ref="N23:N40" si="47">MOD(J23,2^8)</f>
        <v>1</v>
      </c>
      <c r="O23" s="2" t="str">
        <f t="shared" si="19"/>
        <v>10101001</v>
      </c>
      <c r="P23" s="2" t="str">
        <f t="shared" si="7"/>
        <v>11111110</v>
      </c>
      <c r="Q23" s="2" t="str">
        <f t="shared" si="7"/>
        <v>01100000</v>
      </c>
      <c r="R23" s="2" t="str">
        <f t="shared" si="7"/>
        <v>00000001</v>
      </c>
    </row>
    <row r="24" spans="1:18" ht="15.6" x14ac:dyDescent="0.3">
      <c r="A24" s="23"/>
      <c r="B24" s="23" t="s">
        <v>11</v>
      </c>
      <c r="C24" s="23"/>
      <c r="D24" s="23" t="str">
        <f t="shared" si="6"/>
        <v>169.254.127.254</v>
      </c>
      <c r="E24" s="23" t="str">
        <f t="shared" si="8"/>
        <v>10101001.11111110.01111111.11111110</v>
      </c>
      <c r="F24" s="5"/>
      <c r="G24" s="2">
        <f t="shared" si="37"/>
        <v>3</v>
      </c>
      <c r="J24" s="2">
        <f t="shared" ref="J24" si="48">J22-1</f>
        <v>2852028414</v>
      </c>
      <c r="K24" s="2">
        <f t="shared" si="44"/>
        <v>169</v>
      </c>
      <c r="L24" s="2">
        <f t="shared" si="45"/>
        <v>254</v>
      </c>
      <c r="M24" s="2">
        <f t="shared" si="46"/>
        <v>127</v>
      </c>
      <c r="N24" s="2">
        <f t="shared" si="47"/>
        <v>254</v>
      </c>
      <c r="O24" s="2" t="str">
        <f t="shared" si="19"/>
        <v>10101001</v>
      </c>
      <c r="P24" s="2" t="str">
        <f t="shared" si="7"/>
        <v>11111110</v>
      </c>
      <c r="Q24" s="2" t="str">
        <f t="shared" si="7"/>
        <v>01111111</v>
      </c>
      <c r="R24" s="2" t="str">
        <f t="shared" si="7"/>
        <v>11111110</v>
      </c>
    </row>
    <row r="25" spans="1:18" ht="15.6" x14ac:dyDescent="0.3">
      <c r="A25" s="23" t="str">
        <f t="shared" ref="A25:A40" si="49">"Подсеть "&amp;G25</f>
        <v>Подсеть 4</v>
      </c>
      <c r="B25" s="23" t="s">
        <v>8</v>
      </c>
      <c r="C25" s="23" t="str">
        <f t="shared" ref="C25:C40" si="50">IF(G25="","",_xlfn.BASE($G25,2,$C$6))</f>
        <v>100</v>
      </c>
      <c r="D25" s="23" t="str">
        <f t="shared" si="6"/>
        <v>169.254.128.0</v>
      </c>
      <c r="E25" s="23" t="str">
        <f t="shared" si="8"/>
        <v>10101001.11111110.10000000.00000000</v>
      </c>
      <c r="F25" s="5"/>
      <c r="G25" s="2">
        <f t="shared" ref="G25" si="51">IF($C$5&gt;=H25,H25,"")</f>
        <v>4</v>
      </c>
      <c r="H25" s="2">
        <v>4</v>
      </c>
      <c r="I25" s="2">
        <f t="shared" ref="I25" si="52">H25*2^($C$11)</f>
        <v>32768</v>
      </c>
      <c r="J25" s="2">
        <f t="shared" ref="J25" si="53">$K$5+I25</f>
        <v>2852028416</v>
      </c>
      <c r="K25" s="2">
        <f t="shared" si="44"/>
        <v>169</v>
      </c>
      <c r="L25" s="2">
        <f t="shared" si="45"/>
        <v>254</v>
      </c>
      <c r="M25" s="2">
        <f t="shared" si="46"/>
        <v>128</v>
      </c>
      <c r="N25" s="2">
        <f t="shared" si="47"/>
        <v>0</v>
      </c>
      <c r="O25" s="2" t="str">
        <f t="shared" si="19"/>
        <v>10101001</v>
      </c>
      <c r="P25" s="2" t="str">
        <f t="shared" si="7"/>
        <v>11111110</v>
      </c>
      <c r="Q25" s="2" t="str">
        <f t="shared" si="7"/>
        <v>10000000</v>
      </c>
      <c r="R25" s="2" t="str">
        <f t="shared" si="7"/>
        <v>00000000</v>
      </c>
    </row>
    <row r="26" spans="1:18" ht="15.6" x14ac:dyDescent="0.3">
      <c r="A26" s="23"/>
      <c r="B26" s="23" t="s">
        <v>9</v>
      </c>
      <c r="C26" s="23"/>
      <c r="D26" s="23" t="str">
        <f t="shared" si="6"/>
        <v>169.254.159.255</v>
      </c>
      <c r="E26" s="23" t="str">
        <f t="shared" si="8"/>
        <v>10101001.11111110.10011111.11111111</v>
      </c>
      <c r="F26" s="5"/>
      <c r="G26" s="2">
        <f t="shared" ref="G26:G40" si="54">G25</f>
        <v>4</v>
      </c>
      <c r="J26" s="2">
        <f t="shared" ref="J26" si="55">K26*2^24+L26*2^16+M26*2^8+N26</f>
        <v>2852036607</v>
      </c>
      <c r="K26" s="2">
        <f t="shared" ref="K26:K40" si="56">_xlfn.BITOR($L$9,K25)</f>
        <v>169</v>
      </c>
      <c r="L26" s="2">
        <f t="shared" ref="L26:L40" si="57">_xlfn.BITOR($M$9,L25)</f>
        <v>254</v>
      </c>
      <c r="M26" s="2">
        <f t="shared" ref="M26:M40" si="58">_xlfn.BITOR($N$9,M25)</f>
        <v>159</v>
      </c>
      <c r="N26" s="2">
        <f t="shared" ref="N26:N40" si="59">_xlfn.BITOR($O$9,N25)</f>
        <v>255</v>
      </c>
      <c r="O26" s="2" t="str">
        <f t="shared" si="19"/>
        <v>10101001</v>
      </c>
      <c r="P26" s="2" t="str">
        <f t="shared" si="7"/>
        <v>11111110</v>
      </c>
      <c r="Q26" s="2" t="str">
        <f t="shared" si="7"/>
        <v>10011111</v>
      </c>
      <c r="R26" s="2" t="str">
        <f t="shared" si="7"/>
        <v>11111111</v>
      </c>
    </row>
    <row r="27" spans="1:18" ht="15.6" x14ac:dyDescent="0.3">
      <c r="A27" s="23"/>
      <c r="B27" s="23" t="s">
        <v>10</v>
      </c>
      <c r="C27" s="23"/>
      <c r="D27" s="23" t="str">
        <f t="shared" si="6"/>
        <v>169.254.128.1</v>
      </c>
      <c r="E27" s="23" t="str">
        <f t="shared" si="8"/>
        <v>10101001.11111110.10000000.00000001</v>
      </c>
      <c r="F27" s="5"/>
      <c r="G27" s="2">
        <f t="shared" si="54"/>
        <v>4</v>
      </c>
      <c r="J27" s="2">
        <f t="shared" ref="J27" si="60">J25+1</f>
        <v>2852028417</v>
      </c>
      <c r="K27" s="2">
        <f t="shared" ref="K27:K29" si="61">QUOTIENT(J27,2^24)</f>
        <v>169</v>
      </c>
      <c r="L27" s="2">
        <f t="shared" ref="L27:L40" si="62">QUOTIENT(MOD(J27,2^24),2^16)</f>
        <v>254</v>
      </c>
      <c r="M27" s="2">
        <f t="shared" ref="M27:M40" si="63">QUOTIENT(MOD(J27,2^16),2^8)</f>
        <v>128</v>
      </c>
      <c r="N27" s="2">
        <f t="shared" ref="N27:N40" si="64">MOD(J27,2^8)</f>
        <v>1</v>
      </c>
      <c r="O27" s="2" t="str">
        <f t="shared" si="19"/>
        <v>10101001</v>
      </c>
      <c r="P27" s="2" t="str">
        <f t="shared" si="7"/>
        <v>11111110</v>
      </c>
      <c r="Q27" s="2" t="str">
        <f t="shared" si="7"/>
        <v>10000000</v>
      </c>
      <c r="R27" s="2" t="str">
        <f t="shared" si="7"/>
        <v>00000001</v>
      </c>
    </row>
    <row r="28" spans="1:18" ht="15.6" x14ac:dyDescent="0.3">
      <c r="A28" s="23"/>
      <c r="B28" s="23" t="s">
        <v>11</v>
      </c>
      <c r="C28" s="23"/>
      <c r="D28" s="23" t="str">
        <f t="shared" si="6"/>
        <v>169.254.159.254</v>
      </c>
      <c r="E28" s="23" t="str">
        <f t="shared" si="8"/>
        <v>10101001.11111110.10011111.11111110</v>
      </c>
      <c r="F28" s="5"/>
      <c r="G28" s="2">
        <f t="shared" si="54"/>
        <v>4</v>
      </c>
      <c r="J28" s="2">
        <f t="shared" ref="J28" si="65">J26-1</f>
        <v>2852036606</v>
      </c>
      <c r="K28" s="2">
        <f t="shared" si="61"/>
        <v>169</v>
      </c>
      <c r="L28" s="2">
        <f t="shared" si="62"/>
        <v>254</v>
      </c>
      <c r="M28" s="2">
        <f t="shared" si="63"/>
        <v>159</v>
      </c>
      <c r="N28" s="2">
        <f t="shared" si="64"/>
        <v>254</v>
      </c>
      <c r="O28" s="2" t="str">
        <f t="shared" si="19"/>
        <v>10101001</v>
      </c>
      <c r="P28" s="2" t="str">
        <f t="shared" si="7"/>
        <v>11111110</v>
      </c>
      <c r="Q28" s="2" t="str">
        <f t="shared" si="7"/>
        <v>10011111</v>
      </c>
      <c r="R28" s="2" t="str">
        <f t="shared" si="7"/>
        <v>11111110</v>
      </c>
    </row>
    <row r="29" spans="1:18" x14ac:dyDescent="0.3">
      <c r="A29" s="12" t="str">
        <f t="shared" ref="A29:A40" si="66">"Подсеть "&amp;G29</f>
        <v xml:space="preserve">Подсеть </v>
      </c>
      <c r="B29" s="12" t="s">
        <v>8</v>
      </c>
      <c r="C29" s="12" t="str">
        <f t="shared" ref="C29:C40" si="67">IF(G29="","",_xlfn.BASE($G29,2,$C$6))</f>
        <v/>
      </c>
      <c r="D29" s="12" t="str">
        <f t="shared" si="6"/>
        <v/>
      </c>
      <c r="E29" s="12" t="str">
        <f t="shared" si="8"/>
        <v/>
      </c>
      <c r="F29" s="5"/>
      <c r="G29" s="2" t="str">
        <f t="shared" ref="G29" si="68">IF($C$5&gt;=H29,H29,"")</f>
        <v/>
      </c>
      <c r="H29" s="2">
        <v>5</v>
      </c>
      <c r="I29" s="2">
        <f t="shared" ref="I29" si="69">H29*2^($C$11)</f>
        <v>40960</v>
      </c>
      <c r="J29" s="2">
        <f t="shared" ref="J29" si="70">$K$5+I29</f>
        <v>2852036608</v>
      </c>
      <c r="K29" s="2">
        <f t="shared" si="61"/>
        <v>169</v>
      </c>
      <c r="L29" s="2">
        <f t="shared" si="62"/>
        <v>254</v>
      </c>
      <c r="M29" s="2">
        <f t="shared" si="63"/>
        <v>160</v>
      </c>
      <c r="N29" s="2">
        <f t="shared" si="64"/>
        <v>0</v>
      </c>
      <c r="O29" s="2" t="str">
        <f t="shared" si="19"/>
        <v>10101001</v>
      </c>
      <c r="P29" s="2" t="str">
        <f t="shared" si="19"/>
        <v>11111110</v>
      </c>
      <c r="Q29" s="2" t="str">
        <f t="shared" si="19"/>
        <v>10100000</v>
      </c>
      <c r="R29" s="2" t="str">
        <f t="shared" si="19"/>
        <v>00000000</v>
      </c>
    </row>
    <row r="30" spans="1:18" x14ac:dyDescent="0.3">
      <c r="A30" s="12"/>
      <c r="B30" s="12" t="s">
        <v>9</v>
      </c>
      <c r="C30" s="12"/>
      <c r="D30" s="12" t="str">
        <f t="shared" si="6"/>
        <v/>
      </c>
      <c r="E30" s="12" t="str">
        <f t="shared" si="8"/>
        <v/>
      </c>
      <c r="F30" s="5"/>
      <c r="G30" s="2" t="str">
        <f t="shared" ref="G30:G40" si="71">G29</f>
        <v/>
      </c>
      <c r="J30" s="2">
        <f t="shared" ref="J30" si="72">K30*2^24+L30*2^16+M30*2^8+N30</f>
        <v>2852044799</v>
      </c>
      <c r="K30" s="2">
        <f t="shared" ref="K30:K40" si="73">_xlfn.BITOR($L$9,K29)</f>
        <v>169</v>
      </c>
      <c r="L30" s="2">
        <f t="shared" ref="L30:L40" si="74">_xlfn.BITOR($M$9,L29)</f>
        <v>254</v>
      </c>
      <c r="M30" s="2">
        <f t="shared" ref="M30:M40" si="75">_xlfn.BITOR($N$9,M29)</f>
        <v>191</v>
      </c>
      <c r="N30" s="2">
        <f t="shared" ref="N30:N40" si="76">_xlfn.BITOR($O$9,N29)</f>
        <v>255</v>
      </c>
      <c r="O30" s="2" t="str">
        <f t="shared" si="19"/>
        <v>10101001</v>
      </c>
      <c r="P30" s="2" t="str">
        <f t="shared" si="19"/>
        <v>11111110</v>
      </c>
      <c r="Q30" s="2" t="str">
        <f t="shared" si="19"/>
        <v>10111111</v>
      </c>
      <c r="R30" s="2" t="str">
        <f t="shared" si="19"/>
        <v>11111111</v>
      </c>
    </row>
    <row r="31" spans="1:18" x14ac:dyDescent="0.3">
      <c r="A31" s="12"/>
      <c r="B31" s="12" t="s">
        <v>10</v>
      </c>
      <c r="C31" s="12"/>
      <c r="D31" s="12" t="str">
        <f t="shared" si="6"/>
        <v/>
      </c>
      <c r="E31" s="12" t="str">
        <f t="shared" si="8"/>
        <v/>
      </c>
      <c r="F31" s="5"/>
      <c r="G31" s="2" t="str">
        <f t="shared" si="71"/>
        <v/>
      </c>
      <c r="J31" s="2">
        <f t="shared" ref="J31" si="77">J29+1</f>
        <v>2852036609</v>
      </c>
      <c r="K31" s="2">
        <f t="shared" ref="K31:K33" si="78">QUOTIENT(J31,2^24)</f>
        <v>169</v>
      </c>
      <c r="L31" s="2">
        <f t="shared" ref="L31:L40" si="79">QUOTIENT(MOD(J31,2^24),2^16)</f>
        <v>254</v>
      </c>
      <c r="M31" s="2">
        <f t="shared" ref="M31:M40" si="80">QUOTIENT(MOD(J31,2^16),2^8)</f>
        <v>160</v>
      </c>
      <c r="N31" s="2">
        <f t="shared" ref="N31:N40" si="81">MOD(J31,2^8)</f>
        <v>1</v>
      </c>
      <c r="O31" s="2" t="str">
        <f t="shared" si="19"/>
        <v>10101001</v>
      </c>
      <c r="P31" s="2" t="str">
        <f t="shared" si="19"/>
        <v>11111110</v>
      </c>
      <c r="Q31" s="2" t="str">
        <f t="shared" si="19"/>
        <v>10100000</v>
      </c>
      <c r="R31" s="2" t="str">
        <f t="shared" si="19"/>
        <v>00000001</v>
      </c>
    </row>
    <row r="32" spans="1:18" x14ac:dyDescent="0.3">
      <c r="A32" s="12"/>
      <c r="B32" s="12" t="s">
        <v>11</v>
      </c>
      <c r="C32" s="12"/>
      <c r="D32" s="12" t="str">
        <f t="shared" si="6"/>
        <v/>
      </c>
      <c r="E32" s="12" t="str">
        <f t="shared" si="8"/>
        <v/>
      </c>
      <c r="F32" s="5"/>
      <c r="G32" s="2" t="str">
        <f t="shared" si="71"/>
        <v/>
      </c>
      <c r="J32" s="2">
        <f t="shared" ref="J32" si="82">J30-1</f>
        <v>2852044798</v>
      </c>
      <c r="K32" s="2">
        <f t="shared" si="78"/>
        <v>169</v>
      </c>
      <c r="L32" s="2">
        <f t="shared" si="79"/>
        <v>254</v>
      </c>
      <c r="M32" s="2">
        <f t="shared" si="80"/>
        <v>191</v>
      </c>
      <c r="N32" s="2">
        <f t="shared" si="81"/>
        <v>254</v>
      </c>
      <c r="O32" s="2" t="str">
        <f t="shared" si="19"/>
        <v>10101001</v>
      </c>
      <c r="P32" s="2" t="str">
        <f t="shared" si="19"/>
        <v>11111110</v>
      </c>
      <c r="Q32" s="2" t="str">
        <f t="shared" si="19"/>
        <v>10111111</v>
      </c>
      <c r="R32" s="2" t="str">
        <f t="shared" si="19"/>
        <v>11111110</v>
      </c>
    </row>
    <row r="33" spans="1:18" x14ac:dyDescent="0.3">
      <c r="A33" s="12" t="str">
        <f t="shared" ref="A33:A40" si="83">"Подсеть "&amp;G33</f>
        <v xml:space="preserve">Подсеть </v>
      </c>
      <c r="B33" s="12" t="s">
        <v>8</v>
      </c>
      <c r="C33" s="12" t="str">
        <f t="shared" ref="C33:C40" si="84">IF(G33="","",_xlfn.BASE($G33,2,$C$6))</f>
        <v/>
      </c>
      <c r="D33" s="12" t="str">
        <f t="shared" si="6"/>
        <v/>
      </c>
      <c r="E33" s="12" t="str">
        <f t="shared" si="8"/>
        <v/>
      </c>
      <c r="F33" s="5"/>
      <c r="G33" s="2" t="str">
        <f t="shared" ref="G33" si="85">IF($C$5&gt;=H33,H33,"")</f>
        <v/>
      </c>
      <c r="H33" s="2">
        <v>6</v>
      </c>
      <c r="I33" s="2">
        <f t="shared" ref="I33" si="86">H33*2^($C$11)</f>
        <v>49152</v>
      </c>
      <c r="J33" s="2">
        <f t="shared" ref="J33" si="87">$K$5+I33</f>
        <v>2852044800</v>
      </c>
      <c r="K33" s="2">
        <f t="shared" si="78"/>
        <v>169</v>
      </c>
      <c r="L33" s="2">
        <f t="shared" si="79"/>
        <v>254</v>
      </c>
      <c r="M33" s="2">
        <f t="shared" si="80"/>
        <v>192</v>
      </c>
      <c r="N33" s="2">
        <f t="shared" si="81"/>
        <v>0</v>
      </c>
      <c r="O33" s="2" t="str">
        <f t="shared" si="19"/>
        <v>10101001</v>
      </c>
      <c r="P33" s="2" t="str">
        <f t="shared" si="19"/>
        <v>11111110</v>
      </c>
      <c r="Q33" s="2" t="str">
        <f t="shared" si="19"/>
        <v>11000000</v>
      </c>
      <c r="R33" s="2" t="str">
        <f t="shared" si="19"/>
        <v>00000000</v>
      </c>
    </row>
    <row r="34" spans="1:18" x14ac:dyDescent="0.3">
      <c r="A34" s="12"/>
      <c r="B34" s="12" t="s">
        <v>9</v>
      </c>
      <c r="C34" s="12"/>
      <c r="D34" s="12" t="str">
        <f t="shared" si="6"/>
        <v/>
      </c>
      <c r="E34" s="12" t="str">
        <f t="shared" si="8"/>
        <v/>
      </c>
      <c r="F34" s="5"/>
      <c r="G34" s="2" t="str">
        <f t="shared" ref="G34:G40" si="88">G33</f>
        <v/>
      </c>
      <c r="J34" s="2">
        <f t="shared" ref="J34" si="89">K34*2^24+L34*2^16+M34*2^8+N34</f>
        <v>2852052991</v>
      </c>
      <c r="K34" s="2">
        <f t="shared" ref="K34:K40" si="90">_xlfn.BITOR($L$9,K33)</f>
        <v>169</v>
      </c>
      <c r="L34" s="2">
        <f t="shared" ref="L34:L40" si="91">_xlfn.BITOR($M$9,L33)</f>
        <v>254</v>
      </c>
      <c r="M34" s="2">
        <f t="shared" ref="M34:M40" si="92">_xlfn.BITOR($N$9,M33)</f>
        <v>223</v>
      </c>
      <c r="N34" s="2">
        <f t="shared" ref="N34:N40" si="93">_xlfn.BITOR($O$9,N33)</f>
        <v>255</v>
      </c>
      <c r="O34" s="2" t="str">
        <f t="shared" si="19"/>
        <v>10101001</v>
      </c>
      <c r="P34" s="2" t="str">
        <f t="shared" si="19"/>
        <v>11111110</v>
      </c>
      <c r="Q34" s="2" t="str">
        <f t="shared" si="19"/>
        <v>11011111</v>
      </c>
      <c r="R34" s="2" t="str">
        <f t="shared" si="19"/>
        <v>11111111</v>
      </c>
    </row>
    <row r="35" spans="1:18" x14ac:dyDescent="0.3">
      <c r="A35" s="12"/>
      <c r="B35" s="12" t="s">
        <v>10</v>
      </c>
      <c r="C35" s="12"/>
      <c r="D35" s="12" t="str">
        <f t="shared" si="6"/>
        <v/>
      </c>
      <c r="E35" s="12" t="str">
        <f t="shared" si="8"/>
        <v/>
      </c>
      <c r="F35" s="5"/>
      <c r="G35" s="2" t="str">
        <f t="shared" si="88"/>
        <v/>
      </c>
      <c r="J35" s="2">
        <f t="shared" ref="J35" si="94">J33+1</f>
        <v>2852044801</v>
      </c>
      <c r="K35" s="2">
        <f t="shared" ref="K35:K37" si="95">QUOTIENT(J35,2^24)</f>
        <v>169</v>
      </c>
      <c r="L35" s="2">
        <f t="shared" ref="L35:L40" si="96">QUOTIENT(MOD(J35,2^24),2^16)</f>
        <v>254</v>
      </c>
      <c r="M35" s="2">
        <f t="shared" ref="M35:M40" si="97">QUOTIENT(MOD(J35,2^16),2^8)</f>
        <v>192</v>
      </c>
      <c r="N35" s="2">
        <f t="shared" ref="N35:N40" si="98">MOD(J35,2^8)</f>
        <v>1</v>
      </c>
      <c r="O35" s="2" t="str">
        <f t="shared" si="19"/>
        <v>10101001</v>
      </c>
      <c r="P35" s="2" t="str">
        <f t="shared" si="19"/>
        <v>11111110</v>
      </c>
      <c r="Q35" s="2" t="str">
        <f t="shared" si="19"/>
        <v>11000000</v>
      </c>
      <c r="R35" s="2" t="str">
        <f t="shared" si="19"/>
        <v>00000001</v>
      </c>
    </row>
    <row r="36" spans="1:18" x14ac:dyDescent="0.3">
      <c r="A36" s="12"/>
      <c r="B36" s="12" t="s">
        <v>11</v>
      </c>
      <c r="C36" s="12"/>
      <c r="D36" s="12" t="str">
        <f t="shared" si="6"/>
        <v/>
      </c>
      <c r="E36" s="12" t="str">
        <f t="shared" si="8"/>
        <v/>
      </c>
      <c r="F36" s="5"/>
      <c r="G36" s="2" t="str">
        <f t="shared" si="88"/>
        <v/>
      </c>
      <c r="J36" s="2">
        <f t="shared" ref="J36" si="99">J34-1</f>
        <v>2852052990</v>
      </c>
      <c r="K36" s="2">
        <f t="shared" si="95"/>
        <v>169</v>
      </c>
      <c r="L36" s="2">
        <f t="shared" si="96"/>
        <v>254</v>
      </c>
      <c r="M36" s="2">
        <f t="shared" si="97"/>
        <v>223</v>
      </c>
      <c r="N36" s="2">
        <f t="shared" si="98"/>
        <v>254</v>
      </c>
      <c r="O36" s="2" t="str">
        <f t="shared" si="19"/>
        <v>10101001</v>
      </c>
      <c r="P36" s="2" t="str">
        <f t="shared" si="19"/>
        <v>11111110</v>
      </c>
      <c r="Q36" s="2" t="str">
        <f t="shared" si="19"/>
        <v>11011111</v>
      </c>
      <c r="R36" s="2" t="str">
        <f t="shared" si="19"/>
        <v>11111110</v>
      </c>
    </row>
    <row r="37" spans="1:18" x14ac:dyDescent="0.3">
      <c r="A37" s="12" t="str">
        <f t="shared" ref="A37:A40" si="100">"Подсеть "&amp;G37</f>
        <v xml:space="preserve">Подсеть </v>
      </c>
      <c r="B37" s="12" t="s">
        <v>8</v>
      </c>
      <c r="C37" s="12" t="str">
        <f t="shared" ref="C37:C40" si="101">IF(G37="","",_xlfn.BASE($G37,2,$C$6))</f>
        <v/>
      </c>
      <c r="D37" s="12" t="str">
        <f t="shared" si="6"/>
        <v/>
      </c>
      <c r="E37" s="12" t="str">
        <f t="shared" si="8"/>
        <v/>
      </c>
      <c r="F37" s="5"/>
      <c r="G37" s="2" t="str">
        <f t="shared" ref="G37" si="102">IF($C$5&gt;=H37,H37,"")</f>
        <v/>
      </c>
      <c r="H37" s="2">
        <v>7</v>
      </c>
      <c r="I37" s="2">
        <f t="shared" ref="I37" si="103">H37*2^($C$11)</f>
        <v>57344</v>
      </c>
      <c r="J37" s="2">
        <f t="shared" ref="J37" si="104">$K$5+I37</f>
        <v>2852052992</v>
      </c>
      <c r="K37" s="2">
        <f t="shared" si="95"/>
        <v>169</v>
      </c>
      <c r="L37" s="2">
        <f t="shared" si="96"/>
        <v>254</v>
      </c>
      <c r="M37" s="2">
        <f t="shared" si="97"/>
        <v>224</v>
      </c>
      <c r="N37" s="2">
        <f t="shared" si="98"/>
        <v>0</v>
      </c>
      <c r="O37" s="2" t="str">
        <f t="shared" si="19"/>
        <v>10101001</v>
      </c>
      <c r="P37" s="2" t="str">
        <f t="shared" si="19"/>
        <v>11111110</v>
      </c>
      <c r="Q37" s="2" t="str">
        <f t="shared" si="19"/>
        <v>11100000</v>
      </c>
      <c r="R37" s="2" t="str">
        <f t="shared" si="19"/>
        <v>00000000</v>
      </c>
    </row>
    <row r="38" spans="1:18" x14ac:dyDescent="0.3">
      <c r="A38" s="12"/>
      <c r="B38" s="12" t="s">
        <v>9</v>
      </c>
      <c r="C38" s="12"/>
      <c r="D38" s="12" t="str">
        <f t="shared" si="6"/>
        <v/>
      </c>
      <c r="E38" s="12" t="str">
        <f t="shared" si="8"/>
        <v/>
      </c>
      <c r="F38" s="5"/>
      <c r="G38" s="2" t="str">
        <f t="shared" ref="G38:G40" si="105">G37</f>
        <v/>
      </c>
      <c r="J38" s="2">
        <f t="shared" ref="J38" si="106">K38*2^24+L38*2^16+M38*2^8+N38</f>
        <v>2852061183</v>
      </c>
      <c r="K38" s="2">
        <f t="shared" ref="K38:K40" si="107">_xlfn.BITOR($L$9,K37)</f>
        <v>169</v>
      </c>
      <c r="L38" s="2">
        <f t="shared" ref="L38:L40" si="108">_xlfn.BITOR($M$9,L37)</f>
        <v>254</v>
      </c>
      <c r="M38" s="2">
        <f t="shared" ref="M38:M40" si="109">_xlfn.BITOR($N$9,M37)</f>
        <v>255</v>
      </c>
      <c r="N38" s="2">
        <f t="shared" ref="N38:N40" si="110">_xlfn.BITOR($O$9,N37)</f>
        <v>255</v>
      </c>
      <c r="O38" s="2" t="str">
        <f t="shared" si="19"/>
        <v>10101001</v>
      </c>
      <c r="P38" s="2" t="str">
        <f t="shared" si="19"/>
        <v>11111110</v>
      </c>
      <c r="Q38" s="2" t="str">
        <f t="shared" si="19"/>
        <v>11111111</v>
      </c>
      <c r="R38" s="2" t="str">
        <f t="shared" si="19"/>
        <v>11111111</v>
      </c>
    </row>
    <row r="39" spans="1:18" x14ac:dyDescent="0.3">
      <c r="A39" s="12"/>
      <c r="B39" s="12" t="s">
        <v>10</v>
      </c>
      <c r="C39" s="12"/>
      <c r="D39" s="12" t="str">
        <f t="shared" si="6"/>
        <v/>
      </c>
      <c r="E39" s="12" t="str">
        <f t="shared" si="8"/>
        <v/>
      </c>
      <c r="F39" s="5"/>
      <c r="G39" s="2" t="str">
        <f t="shared" si="105"/>
        <v/>
      </c>
      <c r="J39" s="2">
        <f t="shared" ref="J39" si="111">J37+1</f>
        <v>2852052993</v>
      </c>
      <c r="K39" s="2">
        <f t="shared" ref="K39:K40" si="112">QUOTIENT(J39,2^24)</f>
        <v>169</v>
      </c>
      <c r="L39" s="2">
        <f t="shared" ref="L39:L40" si="113">QUOTIENT(MOD(J39,2^24),2^16)</f>
        <v>254</v>
      </c>
      <c r="M39" s="2">
        <f t="shared" ref="M39:M40" si="114">QUOTIENT(MOD(J39,2^16),2^8)</f>
        <v>224</v>
      </c>
      <c r="N39" s="2">
        <f t="shared" ref="N39:N40" si="115">MOD(J39,2^8)</f>
        <v>1</v>
      </c>
      <c r="O39" s="2" t="str">
        <f t="shared" si="19"/>
        <v>10101001</v>
      </c>
      <c r="P39" s="2" t="str">
        <f t="shared" si="19"/>
        <v>11111110</v>
      </c>
      <c r="Q39" s="2" t="str">
        <f t="shared" si="19"/>
        <v>11100000</v>
      </c>
      <c r="R39" s="2" t="str">
        <f t="shared" si="19"/>
        <v>00000001</v>
      </c>
    </row>
    <row r="40" spans="1:18" x14ac:dyDescent="0.3">
      <c r="A40" s="12"/>
      <c r="B40" s="12" t="s">
        <v>11</v>
      </c>
      <c r="C40" s="12"/>
      <c r="D40" s="12" t="str">
        <f t="shared" si="6"/>
        <v/>
      </c>
      <c r="E40" s="12" t="str">
        <f t="shared" si="8"/>
        <v/>
      </c>
      <c r="F40" s="5"/>
      <c r="G40" s="2" t="str">
        <f t="shared" si="105"/>
        <v/>
      </c>
      <c r="J40" s="2">
        <f t="shared" ref="J40" si="116">J38-1</f>
        <v>2852061182</v>
      </c>
      <c r="K40" s="2">
        <f t="shared" si="112"/>
        <v>169</v>
      </c>
      <c r="L40" s="2">
        <f t="shared" si="113"/>
        <v>254</v>
      </c>
      <c r="M40" s="2">
        <f t="shared" si="114"/>
        <v>255</v>
      </c>
      <c r="N40" s="2">
        <f t="shared" si="115"/>
        <v>254</v>
      </c>
      <c r="O40" s="2" t="str">
        <f t="shared" si="19"/>
        <v>10101001</v>
      </c>
      <c r="P40" s="2" t="str">
        <f t="shared" si="19"/>
        <v>11111110</v>
      </c>
      <c r="Q40" s="2" t="str">
        <f t="shared" si="19"/>
        <v>11111111</v>
      </c>
      <c r="R40" s="2" t="str">
        <f t="shared" si="19"/>
        <v>11111110</v>
      </c>
    </row>
    <row r="41" spans="1:18" x14ac:dyDescent="0.3">
      <c r="A41" s="5"/>
      <c r="B41" s="5"/>
      <c r="C41" s="5"/>
      <c r="D41" s="5"/>
      <c r="E41" s="5"/>
      <c r="F41" s="5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3" spans="1:1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">
      <c r="A49" s="1"/>
      <c r="B49" s="1"/>
      <c r="C49" s="1"/>
      <c r="D49" s="1"/>
      <c r="E49" s="1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B50" s="3"/>
      <c r="C50" s="3"/>
      <c r="D50" s="3"/>
      <c r="E50" s="3"/>
    </row>
    <row r="51" spans="1:18" x14ac:dyDescent="0.3">
      <c r="B51" s="3"/>
      <c r="C51" s="3"/>
      <c r="D51" s="3"/>
      <c r="E51" s="3"/>
    </row>
    <row r="52" spans="1:18" x14ac:dyDescent="0.3">
      <c r="B52" s="3"/>
      <c r="C52" s="3"/>
      <c r="D52" s="3"/>
      <c r="E52" s="3"/>
    </row>
    <row r="53" spans="1:18" x14ac:dyDescent="0.3">
      <c r="B53" s="3"/>
      <c r="C53" s="3"/>
      <c r="D53" s="3"/>
      <c r="E53" s="3"/>
    </row>
  </sheetData>
  <mergeCells count="19">
    <mergeCell ref="A11:B11"/>
    <mergeCell ref="C11:E11"/>
    <mergeCell ref="A12:B12"/>
    <mergeCell ref="C12:E12"/>
    <mergeCell ref="A7:B7"/>
    <mergeCell ref="A8:B8"/>
    <mergeCell ref="A9:B9"/>
    <mergeCell ref="A10:B10"/>
    <mergeCell ref="C2:E2"/>
    <mergeCell ref="C3:E3"/>
    <mergeCell ref="C4:E4"/>
    <mergeCell ref="C5:E5"/>
    <mergeCell ref="C6:E6"/>
    <mergeCell ref="A1:E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C903-9255-4FDB-807F-3BA17DD63328}">
  <dimension ref="A1:R53"/>
  <sheetViews>
    <sheetView tabSelected="1" topLeftCell="A15" zoomScale="115" zoomScaleNormal="115" workbookViewId="0">
      <selection activeCell="G23" sqref="G23"/>
    </sheetView>
  </sheetViews>
  <sheetFormatPr defaultRowHeight="14.4" x14ac:dyDescent="0.3"/>
  <cols>
    <col min="1" max="1" width="10.33203125" style="2" bestFit="1" customWidth="1"/>
    <col min="2" max="2" width="7.88671875" style="2" bestFit="1" customWidth="1"/>
    <col min="3" max="3" width="3.21875" style="2" bestFit="1" customWidth="1"/>
    <col min="4" max="4" width="14.33203125" style="2" bestFit="1" customWidth="1"/>
    <col min="5" max="5" width="40.44140625" style="2" bestFit="1" customWidth="1"/>
    <col min="6" max="6" width="2.6640625" style="7" customWidth="1"/>
    <col min="7" max="7" width="13.44140625" style="2" bestFit="1" customWidth="1"/>
    <col min="8" max="9" width="9" style="2" bestFit="1" customWidth="1"/>
    <col min="10" max="11" width="10" style="2" bestFit="1" customWidth="1"/>
    <col min="12" max="14" width="9" style="2" bestFit="1" customWidth="1"/>
    <col min="15" max="15" width="10.88671875" style="2" customWidth="1"/>
    <col min="16" max="16" width="10" style="2" bestFit="1" customWidth="1"/>
    <col min="17" max="17" width="10.33203125" style="2" customWidth="1"/>
    <col min="18" max="16384" width="8.88671875" style="2"/>
  </cols>
  <sheetData>
    <row r="1" spans="1:18" ht="15.6" x14ac:dyDescent="0.3">
      <c r="A1" s="17" t="s">
        <v>14</v>
      </c>
      <c r="B1" s="17"/>
      <c r="C1" s="17"/>
      <c r="D1" s="17"/>
      <c r="E1" s="17"/>
      <c r="F1" s="5"/>
    </row>
    <row r="2" spans="1:18" ht="15.6" x14ac:dyDescent="0.3">
      <c r="A2" s="17" t="s">
        <v>2</v>
      </c>
      <c r="B2" s="17"/>
      <c r="C2" s="17" t="s">
        <v>4</v>
      </c>
      <c r="D2" s="17"/>
      <c r="E2" s="17"/>
      <c r="F2" s="5"/>
    </row>
    <row r="3" spans="1:18" ht="15.6" x14ac:dyDescent="0.3">
      <c r="A3" s="18" t="s">
        <v>15</v>
      </c>
      <c r="B3" s="18"/>
      <c r="C3" s="19">
        <v>9</v>
      </c>
      <c r="D3" s="19"/>
      <c r="E3" s="19"/>
      <c r="F3" s="4"/>
      <c r="G3" s="6">
        <v>0</v>
      </c>
      <c r="H3" s="7">
        <f>FIND(".",$C4,1)</f>
        <v>3</v>
      </c>
      <c r="I3" s="7">
        <f>FIND(".",$C4,H3+1)</f>
        <v>6</v>
      </c>
      <c r="J3" s="7">
        <f>FIND(".",$C4,I3+1)</f>
        <v>8</v>
      </c>
      <c r="K3" s="7">
        <f>FIND("/",$C4,J3+1)</f>
        <v>10</v>
      </c>
      <c r="L3" s="7">
        <f>LEN(C4)+1</f>
        <v>13</v>
      </c>
      <c r="N3" s="7" t="str">
        <f>MID($C4,K3+1,L3-K3-1)</f>
        <v>12</v>
      </c>
      <c r="O3" s="7" t="str">
        <f>_xlfn.BASE(2^32-POWER(2,32-N3),2,32)</f>
        <v>11111111111100000000000000000000</v>
      </c>
    </row>
    <row r="4" spans="1:18" ht="15.6" x14ac:dyDescent="0.3">
      <c r="A4" s="18" t="s">
        <v>1</v>
      </c>
      <c r="B4" s="18"/>
      <c r="C4" s="19" t="s">
        <v>13</v>
      </c>
      <c r="D4" s="19"/>
      <c r="E4" s="19"/>
      <c r="F4" s="5"/>
      <c r="N4" s="2">
        <f>N3+C6</f>
        <v>14</v>
      </c>
      <c r="O4" s="7" t="str">
        <f>_xlfn.BASE(2^32-POWER(2,32-N4),2,32)</f>
        <v>11111111111111000000000000000000</v>
      </c>
    </row>
    <row r="5" spans="1:18" ht="15.6" x14ac:dyDescent="0.3">
      <c r="A5" s="18" t="s">
        <v>3</v>
      </c>
      <c r="B5" s="18"/>
      <c r="C5" s="19">
        <v>3</v>
      </c>
      <c r="D5" s="19"/>
      <c r="E5" s="19"/>
      <c r="F5" s="5"/>
      <c r="G5" s="2" t="str">
        <f>MID($C4,G3+1,H3-G3-1)</f>
        <v>62</v>
      </c>
      <c r="H5" s="2" t="str">
        <f>MID($C4,H3+1,I3-H3-1)</f>
        <v>16</v>
      </c>
      <c r="I5" s="2" t="str">
        <f>MID($C4,I3+1,J3-I3-1)</f>
        <v>0</v>
      </c>
      <c r="J5" s="2" t="str">
        <f>MID($C4,J3+1,K3-J3-1)</f>
        <v>0</v>
      </c>
      <c r="K5" s="2">
        <f>G5*2^24+H5*2^16+I5*2^8+J5</f>
        <v>1041235968</v>
      </c>
    </row>
    <row r="6" spans="1:18" ht="15.6" x14ac:dyDescent="0.3">
      <c r="A6" s="18" t="s">
        <v>16</v>
      </c>
      <c r="B6" s="18"/>
      <c r="C6" s="20">
        <f>ROUNDUP(LOG(C5+1,2),0)</f>
        <v>2</v>
      </c>
      <c r="D6" s="21"/>
      <c r="E6" s="22"/>
      <c r="F6" s="8"/>
      <c r="G6" s="2" t="str">
        <f>_xlfn.BASE(G5,2,8)</f>
        <v>00111110</v>
      </c>
      <c r="H6" s="2" t="str">
        <f t="shared" ref="H6:J6" si="0">_xlfn.BASE(H5,2,8)</f>
        <v>00010000</v>
      </c>
      <c r="I6" s="2" t="str">
        <f t="shared" si="0"/>
        <v>00000000</v>
      </c>
      <c r="J6" s="2" t="str">
        <f t="shared" si="0"/>
        <v>00000000</v>
      </c>
    </row>
    <row r="7" spans="1:18" ht="15.6" x14ac:dyDescent="0.3">
      <c r="A7" s="18" t="s">
        <v>19</v>
      </c>
      <c r="B7" s="18"/>
      <c r="C7" s="23"/>
      <c r="D7" s="23" t="str">
        <f>G5&amp;"."&amp;H5&amp;"."&amp;I5&amp;"."&amp;J5</f>
        <v>62.16.0.0</v>
      </c>
      <c r="E7" s="23" t="str">
        <f>G6&amp;"."&amp;H6&amp;"."&amp;I6&amp;"."&amp;J6</f>
        <v>00111110.00010000.00000000.00000000</v>
      </c>
      <c r="F7" s="5"/>
      <c r="L7" s="2">
        <f>_xlfn.DECIMAL(L8,2)</f>
        <v>255</v>
      </c>
      <c r="M7" s="2">
        <f t="shared" ref="M7:O7" si="1">_xlfn.DECIMAL(M8,2)</f>
        <v>252</v>
      </c>
      <c r="N7" s="2">
        <f t="shared" si="1"/>
        <v>0</v>
      </c>
      <c r="O7" s="2">
        <f t="shared" si="1"/>
        <v>0</v>
      </c>
    </row>
    <row r="8" spans="1:18" ht="15.6" x14ac:dyDescent="0.3">
      <c r="A8" s="18" t="s">
        <v>18</v>
      </c>
      <c r="B8" s="18"/>
      <c r="C8" s="23" t="str">
        <f>N3</f>
        <v>12</v>
      </c>
      <c r="D8" s="23" t="str">
        <f>G8&amp;"."&amp;H8&amp;"."&amp;I8&amp;"."&amp;J8</f>
        <v>255.240.0.0</v>
      </c>
      <c r="E8" s="23" t="str">
        <f>G9&amp;"."&amp;H9&amp;"."&amp;I9&amp;"."&amp;J9</f>
        <v>11111111.11110000.00000000.00000000</v>
      </c>
      <c r="F8" s="5"/>
      <c r="G8" s="2">
        <f>_xlfn.DECIMAL(G9,2)</f>
        <v>255</v>
      </c>
      <c r="H8" s="2">
        <f t="shared" ref="H8:J8" si="2">_xlfn.DECIMAL(H9,2)</f>
        <v>240</v>
      </c>
      <c r="I8" s="2">
        <f t="shared" si="2"/>
        <v>0</v>
      </c>
      <c r="J8" s="2">
        <f t="shared" si="2"/>
        <v>0</v>
      </c>
      <c r="L8" s="2" t="str">
        <f>MID($O4,1,8)</f>
        <v>11111111</v>
      </c>
      <c r="M8" s="2" t="str">
        <f>MID($O4,9,8)</f>
        <v>11111100</v>
      </c>
      <c r="N8" s="2" t="str">
        <f>MID($O4,17,8)</f>
        <v>00000000</v>
      </c>
      <c r="O8" s="2" t="str">
        <f>MID($O4,25,8)</f>
        <v>00000000</v>
      </c>
    </row>
    <row r="9" spans="1:18" ht="15.6" x14ac:dyDescent="0.3">
      <c r="A9" s="18" t="s">
        <v>5</v>
      </c>
      <c r="B9" s="18"/>
      <c r="C9" s="23">
        <f>N4</f>
        <v>14</v>
      </c>
      <c r="D9" s="23" t="str">
        <f>L7&amp;"."&amp;M7&amp;"."&amp;N7&amp;"."&amp;O7</f>
        <v>255.252.0.0</v>
      </c>
      <c r="E9" s="23" t="str">
        <f>L8&amp;"."&amp;M8&amp;"."&amp;N8&amp;"."&amp;O8</f>
        <v>11111111.11111100.00000000.00000000</v>
      </c>
      <c r="F9" s="5"/>
      <c r="G9" s="2" t="str">
        <f>MID($O3,1,8)</f>
        <v>11111111</v>
      </c>
      <c r="H9" s="2" t="str">
        <f>MID($O3,9,8)</f>
        <v>11110000</v>
      </c>
      <c r="I9" s="2" t="str">
        <f>MID($O3,17,8)</f>
        <v>00000000</v>
      </c>
      <c r="J9" s="2" t="str">
        <f>MID($O3,25,8)</f>
        <v>00000000</v>
      </c>
      <c r="L9" s="2">
        <f>255-L7</f>
        <v>0</v>
      </c>
      <c r="M9" s="2">
        <f t="shared" ref="M9:O9" si="3">255-M7</f>
        <v>3</v>
      </c>
      <c r="N9" s="2">
        <f t="shared" si="3"/>
        <v>255</v>
      </c>
      <c r="O9" s="2">
        <f t="shared" si="3"/>
        <v>255</v>
      </c>
    </row>
    <row r="10" spans="1:18" ht="15.6" x14ac:dyDescent="0.3">
      <c r="A10" s="18" t="s">
        <v>17</v>
      </c>
      <c r="B10" s="18"/>
      <c r="C10" s="23"/>
      <c r="D10" s="23" t="str">
        <f>L9&amp;"."&amp;M9&amp;"."&amp;N9&amp;"."&amp;O9</f>
        <v>0.3.255.255</v>
      </c>
      <c r="E10" s="23" t="str">
        <f>L10&amp;"."&amp;M10&amp;"."&amp;N10&amp;"."&amp;O10</f>
        <v>00000000.00000011.11111111.11111111</v>
      </c>
      <c r="F10" s="5"/>
      <c r="L10" s="2" t="str">
        <f>_xlfn.BASE(L9,2,8)</f>
        <v>00000000</v>
      </c>
      <c r="M10" s="2" t="str">
        <f t="shared" ref="M10:O10" si="4">_xlfn.BASE(M9,2,8)</f>
        <v>00000011</v>
      </c>
      <c r="N10" s="2" t="str">
        <f t="shared" si="4"/>
        <v>11111111</v>
      </c>
      <c r="O10" s="2" t="str">
        <f t="shared" si="4"/>
        <v>11111111</v>
      </c>
    </row>
    <row r="11" spans="1:18" ht="15.6" x14ac:dyDescent="0.3">
      <c r="A11" s="18" t="s">
        <v>6</v>
      </c>
      <c r="B11" s="18"/>
      <c r="C11" s="20">
        <f>32-C9</f>
        <v>18</v>
      </c>
      <c r="D11" s="21"/>
      <c r="E11" s="22"/>
      <c r="F11" s="5"/>
    </row>
    <row r="12" spans="1:18" ht="15.6" x14ac:dyDescent="0.3">
      <c r="A12" s="18" t="s">
        <v>7</v>
      </c>
      <c r="B12" s="18"/>
      <c r="C12" s="20">
        <f>2^C11-2</f>
        <v>262142</v>
      </c>
      <c r="D12" s="21"/>
      <c r="E12" s="22"/>
      <c r="F12" s="5"/>
    </row>
    <row r="13" spans="1:18" ht="15.6" x14ac:dyDescent="0.3">
      <c r="A13" s="23" t="str">
        <f>"Подсеть "&amp;G13</f>
        <v>Подсеть 1</v>
      </c>
      <c r="B13" s="23" t="s">
        <v>8</v>
      </c>
      <c r="C13" s="23" t="str">
        <f t="shared" ref="C13" si="5">IF(G13="","",_xlfn.BASE($G13,2,$C$6))</f>
        <v>01</v>
      </c>
      <c r="D13" s="23" t="str">
        <f t="shared" ref="D13:D40" si="6">IF(G13="","",K13&amp;"."&amp;L13&amp;"."&amp;M13&amp;"."&amp;N13)</f>
        <v>62.20.0.0</v>
      </c>
      <c r="E13" s="23" t="str">
        <f>IF(G13="","",O13&amp;"."&amp;P13&amp;"."&amp;Q13&amp;"."&amp;R13)</f>
        <v>00111110.00010100.00000000.00000000</v>
      </c>
      <c r="F13" s="5"/>
      <c r="G13" s="2">
        <f>IF($C$5&gt;=H13,H13,"")</f>
        <v>1</v>
      </c>
      <c r="H13" s="2">
        <v>1</v>
      </c>
      <c r="I13" s="2">
        <f>H13*2^($C$11)</f>
        <v>262144</v>
      </c>
      <c r="J13" s="2">
        <f>$K$5+I13</f>
        <v>1041498112</v>
      </c>
      <c r="K13" s="2">
        <f>QUOTIENT(J13,2^24)</f>
        <v>62</v>
      </c>
      <c r="L13" s="2">
        <f>QUOTIENT(MOD(J13,2^24),2^16)</f>
        <v>20</v>
      </c>
      <c r="M13" s="2">
        <f>QUOTIENT(MOD(J13,2^16),2^8)</f>
        <v>0</v>
      </c>
      <c r="N13" s="2">
        <f>MOD(J13,2^8)</f>
        <v>0</v>
      </c>
      <c r="O13" s="2" t="str">
        <f>_xlfn.BASE(K13,2,8)</f>
        <v>00111110</v>
      </c>
      <c r="P13" s="2" t="str">
        <f t="shared" ref="P13:R28" si="7">_xlfn.BASE(L13,2,8)</f>
        <v>00010100</v>
      </c>
      <c r="Q13" s="2" t="str">
        <f t="shared" si="7"/>
        <v>00000000</v>
      </c>
      <c r="R13" s="2" t="str">
        <f t="shared" si="7"/>
        <v>00000000</v>
      </c>
    </row>
    <row r="14" spans="1:18" ht="15.6" x14ac:dyDescent="0.3">
      <c r="A14" s="23"/>
      <c r="B14" s="23" t="s">
        <v>9</v>
      </c>
      <c r="C14" s="23"/>
      <c r="D14" s="23" t="str">
        <f t="shared" si="6"/>
        <v>62.23.255.255</v>
      </c>
      <c r="E14" s="23" t="str">
        <f>IF(G14="","",O14&amp;"."&amp;P14&amp;"."&amp;Q14&amp;"."&amp;R14)</f>
        <v>00111110.00010111.11111111.11111111</v>
      </c>
      <c r="F14" s="5"/>
      <c r="G14" s="2">
        <f>G13</f>
        <v>1</v>
      </c>
      <c r="J14" s="2">
        <f>K14*2^24+L14*2^16+M14*2^8+N14</f>
        <v>1041760255</v>
      </c>
      <c r="K14" s="2">
        <f>_xlfn.BITOR($L$9,K13)</f>
        <v>62</v>
      </c>
      <c r="L14" s="2">
        <f>_xlfn.BITOR($M$9,L13)</f>
        <v>23</v>
      </c>
      <c r="M14" s="2">
        <f>_xlfn.BITOR($N$9,M13)</f>
        <v>255</v>
      </c>
      <c r="N14" s="2">
        <f>_xlfn.BITOR($O$9,N13)</f>
        <v>255</v>
      </c>
      <c r="O14" s="2" t="str">
        <f>_xlfn.BASE(K14,2,8)</f>
        <v>00111110</v>
      </c>
      <c r="P14" s="2" t="str">
        <f t="shared" si="7"/>
        <v>00010111</v>
      </c>
      <c r="Q14" s="2" t="str">
        <f t="shared" si="7"/>
        <v>11111111</v>
      </c>
      <c r="R14" s="2" t="str">
        <f t="shared" si="7"/>
        <v>11111111</v>
      </c>
    </row>
    <row r="15" spans="1:18" ht="15.6" x14ac:dyDescent="0.3">
      <c r="A15" s="23"/>
      <c r="B15" s="23" t="s">
        <v>10</v>
      </c>
      <c r="C15" s="23"/>
      <c r="D15" s="23" t="str">
        <f t="shared" si="6"/>
        <v>62.20.0.1</v>
      </c>
      <c r="E15" s="23" t="str">
        <f t="shared" ref="E15:E40" si="8">IF(G15="","",O15&amp;"."&amp;P15&amp;"."&amp;Q15&amp;"."&amp;R15)</f>
        <v>00111110.00010100.00000000.00000001</v>
      </c>
      <c r="F15" s="5"/>
      <c r="G15" s="2">
        <f t="shared" ref="G15:G16" si="9">G14</f>
        <v>1</v>
      </c>
      <c r="J15" s="2">
        <f>J13+1</f>
        <v>1041498113</v>
      </c>
      <c r="K15" s="2">
        <f>QUOTIENT(J15,2^24)</f>
        <v>62</v>
      </c>
      <c r="L15" s="2">
        <f>QUOTIENT(MOD(J15,2^24),2^16)</f>
        <v>20</v>
      </c>
      <c r="M15" s="2">
        <f>QUOTIENT(MOD(J15,2^16),2^8)</f>
        <v>0</v>
      </c>
      <c r="N15" s="2">
        <f>MOD(J15,2^8)</f>
        <v>1</v>
      </c>
      <c r="O15" s="2" t="str">
        <f>_xlfn.BASE(K15,2,8)</f>
        <v>00111110</v>
      </c>
      <c r="P15" s="2" t="str">
        <f t="shared" si="7"/>
        <v>00010100</v>
      </c>
      <c r="Q15" s="2" t="str">
        <f t="shared" si="7"/>
        <v>00000000</v>
      </c>
      <c r="R15" s="2" t="str">
        <f t="shared" si="7"/>
        <v>00000001</v>
      </c>
    </row>
    <row r="16" spans="1:18" ht="15.6" x14ac:dyDescent="0.3">
      <c r="A16" s="23"/>
      <c r="B16" s="23" t="s">
        <v>11</v>
      </c>
      <c r="C16" s="23"/>
      <c r="D16" s="23" t="str">
        <f t="shared" si="6"/>
        <v>62.23.255.254</v>
      </c>
      <c r="E16" s="23" t="str">
        <f t="shared" si="8"/>
        <v>00111110.00010111.11111111.11111110</v>
      </c>
      <c r="F16" s="5"/>
      <c r="G16" s="2">
        <f t="shared" si="9"/>
        <v>1</v>
      </c>
      <c r="J16" s="2">
        <f>J14-1</f>
        <v>1041760254</v>
      </c>
      <c r="K16" s="2">
        <f>QUOTIENT(J16,2^24)</f>
        <v>62</v>
      </c>
      <c r="L16" s="2">
        <f>QUOTIENT(MOD(J16,2^24),2^16)</f>
        <v>23</v>
      </c>
      <c r="M16" s="2">
        <f>QUOTIENT(MOD(J16,2^16),2^8)</f>
        <v>255</v>
      </c>
      <c r="N16" s="2">
        <f>MOD(J16,2^8)</f>
        <v>254</v>
      </c>
      <c r="O16" s="2" t="str">
        <f>_xlfn.BASE(K16,2,8)</f>
        <v>00111110</v>
      </c>
      <c r="P16" s="2" t="str">
        <f t="shared" si="7"/>
        <v>00010111</v>
      </c>
      <c r="Q16" s="2" t="str">
        <f t="shared" si="7"/>
        <v>11111111</v>
      </c>
      <c r="R16" s="2" t="str">
        <f t="shared" si="7"/>
        <v>11111110</v>
      </c>
    </row>
    <row r="17" spans="1:18" ht="15.6" x14ac:dyDescent="0.3">
      <c r="A17" s="23" t="str">
        <f t="shared" ref="A17:A40" si="10">"Подсеть "&amp;G17</f>
        <v>Подсеть 2</v>
      </c>
      <c r="B17" s="23" t="s">
        <v>8</v>
      </c>
      <c r="C17" s="23" t="str">
        <f t="shared" ref="C17:C40" si="11">IF(G17="","",_xlfn.BASE($G17,2,$C$6))</f>
        <v>10</v>
      </c>
      <c r="D17" s="23" t="str">
        <f t="shared" si="6"/>
        <v>62.24.0.0</v>
      </c>
      <c r="E17" s="23" t="str">
        <f t="shared" si="8"/>
        <v>00111110.00011000.00000000.00000000</v>
      </c>
      <c r="F17" s="5"/>
      <c r="G17" s="2">
        <f t="shared" ref="G17" si="12">IF($C$5&gt;=H17,H17,"")</f>
        <v>2</v>
      </c>
      <c r="H17" s="2">
        <v>2</v>
      </c>
      <c r="I17" s="2">
        <f t="shared" ref="I17" si="13">H17*2^($C$11)</f>
        <v>524288</v>
      </c>
      <c r="J17" s="2">
        <f t="shared" ref="J17" si="14">$K$5+I17</f>
        <v>1041760256</v>
      </c>
      <c r="K17" s="2">
        <f t="shared" ref="K17" si="15">QUOTIENT(J17,2^24)</f>
        <v>62</v>
      </c>
      <c r="L17" s="2">
        <f t="shared" ref="L17:L40" si="16">QUOTIENT(MOD(J17,2^24),2^16)</f>
        <v>24</v>
      </c>
      <c r="M17" s="2">
        <f t="shared" ref="M17:M40" si="17">QUOTIENT(MOD(J17,2^16),2^8)</f>
        <v>0</v>
      </c>
      <c r="N17" s="2">
        <f t="shared" ref="N17:N40" si="18">MOD(J17,2^8)</f>
        <v>0</v>
      </c>
      <c r="O17" s="2" t="str">
        <f t="shared" ref="O17:R40" si="19">_xlfn.BASE(K17,2,8)</f>
        <v>00111110</v>
      </c>
      <c r="P17" s="2" t="str">
        <f t="shared" si="7"/>
        <v>00011000</v>
      </c>
      <c r="Q17" s="2" t="str">
        <f t="shared" si="7"/>
        <v>00000000</v>
      </c>
      <c r="R17" s="2" t="str">
        <f t="shared" si="7"/>
        <v>00000000</v>
      </c>
    </row>
    <row r="18" spans="1:18" ht="15.6" x14ac:dyDescent="0.3">
      <c r="A18" s="23"/>
      <c r="B18" s="23" t="s">
        <v>9</v>
      </c>
      <c r="C18" s="23"/>
      <c r="D18" s="23" t="str">
        <f t="shared" si="6"/>
        <v>62.27.255.255</v>
      </c>
      <c r="E18" s="23" t="str">
        <f t="shared" si="8"/>
        <v>00111110.00011011.11111111.11111111</v>
      </c>
      <c r="F18" s="5"/>
      <c r="G18" s="2">
        <f t="shared" ref="G18:G40" si="20">G17</f>
        <v>2</v>
      </c>
      <c r="J18" s="2">
        <f t="shared" ref="J18" si="21">K18*2^24+L18*2^16+M18*2^8+N18</f>
        <v>1042022399</v>
      </c>
      <c r="K18" s="2">
        <f t="shared" ref="K18:K40" si="22">_xlfn.BITOR($L$9,K17)</f>
        <v>62</v>
      </c>
      <c r="L18" s="2">
        <f t="shared" ref="L18:L40" si="23">_xlfn.BITOR($M$9,L17)</f>
        <v>27</v>
      </c>
      <c r="M18" s="2">
        <f t="shared" ref="M18:M40" si="24">_xlfn.BITOR($N$9,M17)</f>
        <v>255</v>
      </c>
      <c r="N18" s="2">
        <f t="shared" ref="N18:N40" si="25">_xlfn.BITOR($O$9,N17)</f>
        <v>255</v>
      </c>
      <c r="O18" s="2" t="str">
        <f t="shared" si="19"/>
        <v>00111110</v>
      </c>
      <c r="P18" s="2" t="str">
        <f t="shared" si="7"/>
        <v>00011011</v>
      </c>
      <c r="Q18" s="2" t="str">
        <f t="shared" si="7"/>
        <v>11111111</v>
      </c>
      <c r="R18" s="2" t="str">
        <f t="shared" si="7"/>
        <v>11111111</v>
      </c>
    </row>
    <row r="19" spans="1:18" ht="15.6" x14ac:dyDescent="0.3">
      <c r="A19" s="23"/>
      <c r="B19" s="23" t="s">
        <v>10</v>
      </c>
      <c r="C19" s="23"/>
      <c r="D19" s="23" t="str">
        <f t="shared" si="6"/>
        <v>62.24.0.1</v>
      </c>
      <c r="E19" s="23" t="str">
        <f t="shared" si="8"/>
        <v>00111110.00011000.00000000.00000001</v>
      </c>
      <c r="F19" s="5"/>
      <c r="G19" s="2">
        <f t="shared" si="20"/>
        <v>2</v>
      </c>
      <c r="J19" s="2">
        <f t="shared" ref="J19" si="26">J17+1</f>
        <v>1041760257</v>
      </c>
      <c r="K19" s="2">
        <f t="shared" ref="K19:K21" si="27">QUOTIENT(J19,2^24)</f>
        <v>62</v>
      </c>
      <c r="L19" s="2">
        <f t="shared" ref="L19:L40" si="28">QUOTIENT(MOD(J19,2^24),2^16)</f>
        <v>24</v>
      </c>
      <c r="M19" s="2">
        <f t="shared" ref="M19:M40" si="29">QUOTIENT(MOD(J19,2^16),2^8)</f>
        <v>0</v>
      </c>
      <c r="N19" s="2">
        <f t="shared" ref="N19:N40" si="30">MOD(J19,2^8)</f>
        <v>1</v>
      </c>
      <c r="O19" s="2" t="str">
        <f t="shared" si="19"/>
        <v>00111110</v>
      </c>
      <c r="P19" s="2" t="str">
        <f t="shared" si="7"/>
        <v>00011000</v>
      </c>
      <c r="Q19" s="2" t="str">
        <f t="shared" si="7"/>
        <v>00000000</v>
      </c>
      <c r="R19" s="2" t="str">
        <f t="shared" si="7"/>
        <v>00000001</v>
      </c>
    </row>
    <row r="20" spans="1:18" ht="15.6" x14ac:dyDescent="0.3">
      <c r="A20" s="23"/>
      <c r="B20" s="23" t="s">
        <v>11</v>
      </c>
      <c r="C20" s="23"/>
      <c r="D20" s="23" t="str">
        <f t="shared" si="6"/>
        <v>62.27.255.254</v>
      </c>
      <c r="E20" s="23" t="str">
        <f t="shared" si="8"/>
        <v>00111110.00011011.11111111.11111110</v>
      </c>
      <c r="F20" s="5"/>
      <c r="G20" s="2">
        <f t="shared" si="20"/>
        <v>2</v>
      </c>
      <c r="J20" s="2">
        <f t="shared" ref="J20" si="31">J18-1</f>
        <v>1042022398</v>
      </c>
      <c r="K20" s="2">
        <f t="shared" si="27"/>
        <v>62</v>
      </c>
      <c r="L20" s="2">
        <f t="shared" si="28"/>
        <v>27</v>
      </c>
      <c r="M20" s="2">
        <f t="shared" si="29"/>
        <v>255</v>
      </c>
      <c r="N20" s="2">
        <f t="shared" si="30"/>
        <v>254</v>
      </c>
      <c r="O20" s="2" t="str">
        <f t="shared" si="19"/>
        <v>00111110</v>
      </c>
      <c r="P20" s="2" t="str">
        <f t="shared" si="7"/>
        <v>00011011</v>
      </c>
      <c r="Q20" s="2" t="str">
        <f t="shared" si="7"/>
        <v>11111111</v>
      </c>
      <c r="R20" s="2" t="str">
        <f t="shared" si="7"/>
        <v>11111110</v>
      </c>
    </row>
    <row r="21" spans="1:18" ht="15.6" x14ac:dyDescent="0.3">
      <c r="A21" s="23" t="str">
        <f t="shared" ref="A21:A40" si="32">"Подсеть "&amp;G21</f>
        <v>Подсеть 3</v>
      </c>
      <c r="B21" s="23" t="s">
        <v>8</v>
      </c>
      <c r="C21" s="23" t="str">
        <f t="shared" ref="C21:C40" si="33">IF(G21="","",_xlfn.BASE($G21,2,$C$6))</f>
        <v>11</v>
      </c>
      <c r="D21" s="23" t="str">
        <f t="shared" si="6"/>
        <v>62.28.0.0</v>
      </c>
      <c r="E21" s="23" t="str">
        <f t="shared" si="8"/>
        <v>00111110.00011100.00000000.00000000</v>
      </c>
      <c r="F21" s="5"/>
      <c r="G21" s="2">
        <f t="shared" ref="G21" si="34">IF($C$5&gt;=H21,H21,"")</f>
        <v>3</v>
      </c>
      <c r="H21" s="2">
        <v>3</v>
      </c>
      <c r="I21" s="2">
        <f t="shared" ref="I21" si="35">H21*2^($C$11)</f>
        <v>786432</v>
      </c>
      <c r="J21" s="2">
        <f t="shared" ref="J21" si="36">$K$5+I21</f>
        <v>1042022400</v>
      </c>
      <c r="K21" s="2">
        <f t="shared" si="27"/>
        <v>62</v>
      </c>
      <c r="L21" s="2">
        <f t="shared" si="28"/>
        <v>28</v>
      </c>
      <c r="M21" s="2">
        <f t="shared" si="29"/>
        <v>0</v>
      </c>
      <c r="N21" s="2">
        <f t="shared" si="30"/>
        <v>0</v>
      </c>
      <c r="O21" s="2" t="str">
        <f t="shared" si="19"/>
        <v>00111110</v>
      </c>
      <c r="P21" s="2" t="str">
        <f t="shared" si="7"/>
        <v>00011100</v>
      </c>
      <c r="Q21" s="2" t="str">
        <f t="shared" si="7"/>
        <v>00000000</v>
      </c>
      <c r="R21" s="2" t="str">
        <f t="shared" si="7"/>
        <v>00000000</v>
      </c>
    </row>
    <row r="22" spans="1:18" ht="15.6" x14ac:dyDescent="0.3">
      <c r="A22" s="23"/>
      <c r="B22" s="23" t="s">
        <v>9</v>
      </c>
      <c r="C22" s="23"/>
      <c r="D22" s="23" t="str">
        <f t="shared" si="6"/>
        <v>62.31.255.255</v>
      </c>
      <c r="E22" s="23" t="str">
        <f t="shared" si="8"/>
        <v>00111110.00011111.11111111.11111111</v>
      </c>
      <c r="F22" s="5"/>
      <c r="G22" s="2">
        <f t="shared" ref="G22:G40" si="37">G21</f>
        <v>3</v>
      </c>
      <c r="J22" s="2">
        <f t="shared" ref="J22" si="38">K22*2^24+L22*2^16+M22*2^8+N22</f>
        <v>1042284543</v>
      </c>
      <c r="K22" s="2">
        <f t="shared" ref="K22:K40" si="39">_xlfn.BITOR($L$9,K21)</f>
        <v>62</v>
      </c>
      <c r="L22" s="2">
        <f t="shared" ref="L22:L40" si="40">_xlfn.BITOR($M$9,L21)</f>
        <v>31</v>
      </c>
      <c r="M22" s="2">
        <f t="shared" ref="M22:M40" si="41">_xlfn.BITOR($N$9,M21)</f>
        <v>255</v>
      </c>
      <c r="N22" s="2">
        <f t="shared" ref="N22:N40" si="42">_xlfn.BITOR($O$9,N21)</f>
        <v>255</v>
      </c>
      <c r="O22" s="2" t="str">
        <f t="shared" si="19"/>
        <v>00111110</v>
      </c>
      <c r="P22" s="2" t="str">
        <f t="shared" si="7"/>
        <v>00011111</v>
      </c>
      <c r="Q22" s="2" t="str">
        <f t="shared" si="7"/>
        <v>11111111</v>
      </c>
      <c r="R22" s="2" t="str">
        <f t="shared" si="7"/>
        <v>11111111</v>
      </c>
    </row>
    <row r="23" spans="1:18" ht="15.6" x14ac:dyDescent="0.3">
      <c r="A23" s="23"/>
      <c r="B23" s="23" t="s">
        <v>10</v>
      </c>
      <c r="C23" s="23"/>
      <c r="D23" s="23" t="str">
        <f t="shared" si="6"/>
        <v>62.28.0.1</v>
      </c>
      <c r="E23" s="23" t="str">
        <f t="shared" si="8"/>
        <v>00111110.00011100.00000000.00000001</v>
      </c>
      <c r="F23" s="5"/>
      <c r="G23" s="2">
        <f t="shared" si="37"/>
        <v>3</v>
      </c>
      <c r="J23" s="2">
        <f t="shared" ref="J23" si="43">J21+1</f>
        <v>1042022401</v>
      </c>
      <c r="K23" s="2">
        <f t="shared" ref="K23:K25" si="44">QUOTIENT(J23,2^24)</f>
        <v>62</v>
      </c>
      <c r="L23" s="2">
        <f t="shared" ref="L23:L40" si="45">QUOTIENT(MOD(J23,2^24),2^16)</f>
        <v>28</v>
      </c>
      <c r="M23" s="2">
        <f t="shared" ref="M23:M40" si="46">QUOTIENT(MOD(J23,2^16),2^8)</f>
        <v>0</v>
      </c>
      <c r="N23" s="2">
        <f t="shared" ref="N23:N40" si="47">MOD(J23,2^8)</f>
        <v>1</v>
      </c>
      <c r="O23" s="2" t="str">
        <f t="shared" si="19"/>
        <v>00111110</v>
      </c>
      <c r="P23" s="2" t="str">
        <f t="shared" si="7"/>
        <v>00011100</v>
      </c>
      <c r="Q23" s="2" t="str">
        <f t="shared" si="7"/>
        <v>00000000</v>
      </c>
      <c r="R23" s="2" t="str">
        <f t="shared" si="7"/>
        <v>00000001</v>
      </c>
    </row>
    <row r="24" spans="1:18" ht="15.6" x14ac:dyDescent="0.3">
      <c r="A24" s="23"/>
      <c r="B24" s="23" t="s">
        <v>11</v>
      </c>
      <c r="C24" s="23"/>
      <c r="D24" s="23" t="str">
        <f t="shared" si="6"/>
        <v>62.31.255.254</v>
      </c>
      <c r="E24" s="23" t="str">
        <f t="shared" si="8"/>
        <v>00111110.00011111.11111111.11111110</v>
      </c>
      <c r="F24" s="5"/>
      <c r="G24" s="2">
        <f t="shared" si="37"/>
        <v>3</v>
      </c>
      <c r="J24" s="2">
        <f t="shared" ref="J24" si="48">J22-1</f>
        <v>1042284542</v>
      </c>
      <c r="K24" s="2">
        <f t="shared" si="44"/>
        <v>62</v>
      </c>
      <c r="L24" s="2">
        <f t="shared" si="45"/>
        <v>31</v>
      </c>
      <c r="M24" s="2">
        <f t="shared" si="46"/>
        <v>255</v>
      </c>
      <c r="N24" s="2">
        <f t="shared" si="47"/>
        <v>254</v>
      </c>
      <c r="O24" s="2" t="str">
        <f t="shared" si="19"/>
        <v>00111110</v>
      </c>
      <c r="P24" s="2" t="str">
        <f t="shared" si="7"/>
        <v>00011111</v>
      </c>
      <c r="Q24" s="2" t="str">
        <f t="shared" si="7"/>
        <v>11111111</v>
      </c>
      <c r="R24" s="2" t="str">
        <f t="shared" si="7"/>
        <v>11111110</v>
      </c>
    </row>
    <row r="25" spans="1:18" ht="15.6" x14ac:dyDescent="0.3">
      <c r="A25" s="23" t="str">
        <f t="shared" ref="A25:A40" si="49">"Подсеть "&amp;G25</f>
        <v xml:space="preserve">Подсеть </v>
      </c>
      <c r="B25" s="23" t="s">
        <v>8</v>
      </c>
      <c r="C25" s="23" t="str">
        <f t="shared" ref="C25:C40" si="50">IF(G25="","",_xlfn.BASE($G25,2,$C$6))</f>
        <v/>
      </c>
      <c r="D25" s="23" t="str">
        <f t="shared" si="6"/>
        <v/>
      </c>
      <c r="E25" s="23" t="str">
        <f t="shared" si="8"/>
        <v/>
      </c>
      <c r="F25" s="5"/>
      <c r="G25" s="2" t="str">
        <f t="shared" ref="G25" si="51">IF($C$5&gt;=H25,H25,"")</f>
        <v/>
      </c>
      <c r="H25" s="2">
        <v>4</v>
      </c>
      <c r="I25" s="2">
        <f t="shared" ref="I25" si="52">H25*2^($C$11)</f>
        <v>1048576</v>
      </c>
      <c r="J25" s="2">
        <f t="shared" ref="J25" si="53">$K$5+I25</f>
        <v>1042284544</v>
      </c>
      <c r="K25" s="2">
        <f t="shared" si="44"/>
        <v>62</v>
      </c>
      <c r="L25" s="2">
        <f t="shared" si="45"/>
        <v>32</v>
      </c>
      <c r="M25" s="2">
        <f t="shared" si="46"/>
        <v>0</v>
      </c>
      <c r="N25" s="2">
        <f t="shared" si="47"/>
        <v>0</v>
      </c>
      <c r="O25" s="2" t="str">
        <f t="shared" si="19"/>
        <v>00111110</v>
      </c>
      <c r="P25" s="2" t="str">
        <f t="shared" si="7"/>
        <v>00100000</v>
      </c>
      <c r="Q25" s="2" t="str">
        <f t="shared" si="7"/>
        <v>00000000</v>
      </c>
      <c r="R25" s="2" t="str">
        <f t="shared" si="7"/>
        <v>00000000</v>
      </c>
    </row>
    <row r="26" spans="1:18" ht="15.6" x14ac:dyDescent="0.3">
      <c r="A26" s="23"/>
      <c r="B26" s="23" t="s">
        <v>9</v>
      </c>
      <c r="C26" s="23"/>
      <c r="D26" s="23" t="str">
        <f t="shared" si="6"/>
        <v/>
      </c>
      <c r="E26" s="23" t="str">
        <f t="shared" si="8"/>
        <v/>
      </c>
      <c r="F26" s="5"/>
      <c r="G26" s="2" t="str">
        <f t="shared" ref="G26:G40" si="54">G25</f>
        <v/>
      </c>
      <c r="J26" s="2">
        <f t="shared" ref="J26" si="55">K26*2^24+L26*2^16+M26*2^8+N26</f>
        <v>1042546687</v>
      </c>
      <c r="K26" s="2">
        <f t="shared" ref="K26:K40" si="56">_xlfn.BITOR($L$9,K25)</f>
        <v>62</v>
      </c>
      <c r="L26" s="2">
        <f t="shared" ref="L26:L40" si="57">_xlfn.BITOR($M$9,L25)</f>
        <v>35</v>
      </c>
      <c r="M26" s="2">
        <f t="shared" ref="M26:M40" si="58">_xlfn.BITOR($N$9,M25)</f>
        <v>255</v>
      </c>
      <c r="N26" s="2">
        <f t="shared" ref="N26:N40" si="59">_xlfn.BITOR($O$9,N25)</f>
        <v>255</v>
      </c>
      <c r="O26" s="2" t="str">
        <f t="shared" si="19"/>
        <v>00111110</v>
      </c>
      <c r="P26" s="2" t="str">
        <f t="shared" si="7"/>
        <v>00100011</v>
      </c>
      <c r="Q26" s="2" t="str">
        <f t="shared" si="7"/>
        <v>11111111</v>
      </c>
      <c r="R26" s="2" t="str">
        <f t="shared" si="7"/>
        <v>11111111</v>
      </c>
    </row>
    <row r="27" spans="1:18" ht="15.6" x14ac:dyDescent="0.3">
      <c r="A27" s="23"/>
      <c r="B27" s="23" t="s">
        <v>10</v>
      </c>
      <c r="C27" s="23"/>
      <c r="D27" s="23" t="str">
        <f t="shared" si="6"/>
        <v/>
      </c>
      <c r="E27" s="23" t="str">
        <f t="shared" si="8"/>
        <v/>
      </c>
      <c r="F27" s="5"/>
      <c r="G27" s="2" t="str">
        <f t="shared" si="54"/>
        <v/>
      </c>
      <c r="J27" s="2">
        <f t="shared" ref="J27" si="60">J25+1</f>
        <v>1042284545</v>
      </c>
      <c r="K27" s="2">
        <f t="shared" ref="K27:K29" si="61">QUOTIENT(J27,2^24)</f>
        <v>62</v>
      </c>
      <c r="L27" s="2">
        <f t="shared" ref="L27:L40" si="62">QUOTIENT(MOD(J27,2^24),2^16)</f>
        <v>32</v>
      </c>
      <c r="M27" s="2">
        <f t="shared" ref="M27:M40" si="63">QUOTIENT(MOD(J27,2^16),2^8)</f>
        <v>0</v>
      </c>
      <c r="N27" s="2">
        <f t="shared" ref="N27:N40" si="64">MOD(J27,2^8)</f>
        <v>1</v>
      </c>
      <c r="O27" s="2" t="str">
        <f t="shared" si="19"/>
        <v>00111110</v>
      </c>
      <c r="P27" s="2" t="str">
        <f t="shared" si="7"/>
        <v>00100000</v>
      </c>
      <c r="Q27" s="2" t="str">
        <f t="shared" si="7"/>
        <v>00000000</v>
      </c>
      <c r="R27" s="2" t="str">
        <f t="shared" si="7"/>
        <v>00000001</v>
      </c>
    </row>
    <row r="28" spans="1:18" ht="15.6" x14ac:dyDescent="0.3">
      <c r="A28" s="23"/>
      <c r="B28" s="23" t="s">
        <v>11</v>
      </c>
      <c r="C28" s="23"/>
      <c r="D28" s="23" t="str">
        <f t="shared" si="6"/>
        <v/>
      </c>
      <c r="E28" s="23" t="str">
        <f t="shared" si="8"/>
        <v/>
      </c>
      <c r="F28" s="5"/>
      <c r="G28" s="2" t="str">
        <f t="shared" si="54"/>
        <v/>
      </c>
      <c r="J28" s="2">
        <f t="shared" ref="J28" si="65">J26-1</f>
        <v>1042546686</v>
      </c>
      <c r="K28" s="2">
        <f t="shared" si="61"/>
        <v>62</v>
      </c>
      <c r="L28" s="2">
        <f t="shared" si="62"/>
        <v>35</v>
      </c>
      <c r="M28" s="2">
        <f t="shared" si="63"/>
        <v>255</v>
      </c>
      <c r="N28" s="2">
        <f t="shared" si="64"/>
        <v>254</v>
      </c>
      <c r="O28" s="2" t="str">
        <f t="shared" si="19"/>
        <v>00111110</v>
      </c>
      <c r="P28" s="2" t="str">
        <f t="shared" si="7"/>
        <v>00100011</v>
      </c>
      <c r="Q28" s="2" t="str">
        <f t="shared" si="7"/>
        <v>11111111</v>
      </c>
      <c r="R28" s="2" t="str">
        <f t="shared" si="7"/>
        <v>11111110</v>
      </c>
    </row>
    <row r="29" spans="1:18" ht="15.6" x14ac:dyDescent="0.3">
      <c r="A29" s="23" t="str">
        <f t="shared" ref="A29:A40" si="66">"Подсеть "&amp;G29</f>
        <v xml:space="preserve">Подсеть </v>
      </c>
      <c r="B29" s="23" t="s">
        <v>8</v>
      </c>
      <c r="C29" s="23" t="str">
        <f t="shared" ref="C29:C40" si="67">IF(G29="","",_xlfn.BASE($G29,2,$C$6))</f>
        <v/>
      </c>
      <c r="D29" s="23" t="str">
        <f t="shared" si="6"/>
        <v/>
      </c>
      <c r="E29" s="23" t="str">
        <f t="shared" si="8"/>
        <v/>
      </c>
      <c r="F29" s="5"/>
      <c r="G29" s="2" t="str">
        <f t="shared" ref="G29" si="68">IF($C$5&gt;=H29,H29,"")</f>
        <v/>
      </c>
      <c r="H29" s="2">
        <v>5</v>
      </c>
      <c r="I29" s="2">
        <f t="shared" ref="I29" si="69">H29*2^($C$11)</f>
        <v>1310720</v>
      </c>
      <c r="J29" s="2">
        <f t="shared" ref="J29" si="70">$K$5+I29</f>
        <v>1042546688</v>
      </c>
      <c r="K29" s="2">
        <f t="shared" si="61"/>
        <v>62</v>
      </c>
      <c r="L29" s="2">
        <f t="shared" si="62"/>
        <v>36</v>
      </c>
      <c r="M29" s="2">
        <f t="shared" si="63"/>
        <v>0</v>
      </c>
      <c r="N29" s="2">
        <f t="shared" si="64"/>
        <v>0</v>
      </c>
      <c r="O29" s="2" t="str">
        <f t="shared" si="19"/>
        <v>00111110</v>
      </c>
      <c r="P29" s="2" t="str">
        <f t="shared" si="19"/>
        <v>00100100</v>
      </c>
      <c r="Q29" s="2" t="str">
        <f t="shared" si="19"/>
        <v>00000000</v>
      </c>
      <c r="R29" s="2" t="str">
        <f t="shared" si="19"/>
        <v>00000000</v>
      </c>
    </row>
    <row r="30" spans="1:18" ht="15.6" x14ac:dyDescent="0.3">
      <c r="A30" s="23"/>
      <c r="B30" s="23" t="s">
        <v>9</v>
      </c>
      <c r="C30" s="23"/>
      <c r="D30" s="23" t="str">
        <f t="shared" si="6"/>
        <v/>
      </c>
      <c r="E30" s="23" t="str">
        <f t="shared" si="8"/>
        <v/>
      </c>
      <c r="F30" s="5"/>
      <c r="G30" s="2" t="str">
        <f t="shared" ref="G30:G40" si="71">G29</f>
        <v/>
      </c>
      <c r="J30" s="2">
        <f t="shared" ref="J30" si="72">K30*2^24+L30*2^16+M30*2^8+N30</f>
        <v>1042808831</v>
      </c>
      <c r="K30" s="2">
        <f t="shared" ref="K30:K40" si="73">_xlfn.BITOR($L$9,K29)</f>
        <v>62</v>
      </c>
      <c r="L30" s="2">
        <f t="shared" ref="L30:L40" si="74">_xlfn.BITOR($M$9,L29)</f>
        <v>39</v>
      </c>
      <c r="M30" s="2">
        <f t="shared" ref="M30:M40" si="75">_xlfn.BITOR($N$9,M29)</f>
        <v>255</v>
      </c>
      <c r="N30" s="2">
        <f t="shared" ref="N30:N40" si="76">_xlfn.BITOR($O$9,N29)</f>
        <v>255</v>
      </c>
      <c r="O30" s="2" t="str">
        <f t="shared" si="19"/>
        <v>00111110</v>
      </c>
      <c r="P30" s="2" t="str">
        <f t="shared" si="19"/>
        <v>00100111</v>
      </c>
      <c r="Q30" s="2" t="str">
        <f t="shared" si="19"/>
        <v>11111111</v>
      </c>
      <c r="R30" s="2" t="str">
        <f t="shared" si="19"/>
        <v>11111111</v>
      </c>
    </row>
    <row r="31" spans="1:18" ht="15.6" x14ac:dyDescent="0.3">
      <c r="A31" s="23"/>
      <c r="B31" s="23" t="s">
        <v>10</v>
      </c>
      <c r="C31" s="23"/>
      <c r="D31" s="23" t="str">
        <f t="shared" si="6"/>
        <v/>
      </c>
      <c r="E31" s="23" t="str">
        <f t="shared" si="8"/>
        <v/>
      </c>
      <c r="F31" s="5"/>
      <c r="G31" s="2" t="str">
        <f t="shared" si="71"/>
        <v/>
      </c>
      <c r="J31" s="2">
        <f t="shared" ref="J31" si="77">J29+1</f>
        <v>1042546689</v>
      </c>
      <c r="K31" s="2">
        <f t="shared" ref="K31:K33" si="78">QUOTIENT(J31,2^24)</f>
        <v>62</v>
      </c>
      <c r="L31" s="2">
        <f t="shared" ref="L31:L40" si="79">QUOTIENT(MOD(J31,2^24),2^16)</f>
        <v>36</v>
      </c>
      <c r="M31" s="2">
        <f t="shared" ref="M31:M40" si="80">QUOTIENT(MOD(J31,2^16),2^8)</f>
        <v>0</v>
      </c>
      <c r="N31" s="2">
        <f t="shared" ref="N31:N40" si="81">MOD(J31,2^8)</f>
        <v>1</v>
      </c>
      <c r="O31" s="2" t="str">
        <f t="shared" si="19"/>
        <v>00111110</v>
      </c>
      <c r="P31" s="2" t="str">
        <f t="shared" si="19"/>
        <v>00100100</v>
      </c>
      <c r="Q31" s="2" t="str">
        <f t="shared" si="19"/>
        <v>00000000</v>
      </c>
      <c r="R31" s="2" t="str">
        <f t="shared" si="19"/>
        <v>00000001</v>
      </c>
    </row>
    <row r="32" spans="1:18" ht="15.6" x14ac:dyDescent="0.3">
      <c r="A32" s="23"/>
      <c r="B32" s="23" t="s">
        <v>11</v>
      </c>
      <c r="C32" s="23"/>
      <c r="D32" s="23" t="str">
        <f t="shared" si="6"/>
        <v/>
      </c>
      <c r="E32" s="23" t="str">
        <f t="shared" si="8"/>
        <v/>
      </c>
      <c r="F32" s="5"/>
      <c r="G32" s="2" t="str">
        <f t="shared" si="71"/>
        <v/>
      </c>
      <c r="J32" s="2">
        <f t="shared" ref="J32" si="82">J30-1</f>
        <v>1042808830</v>
      </c>
      <c r="K32" s="2">
        <f t="shared" si="78"/>
        <v>62</v>
      </c>
      <c r="L32" s="2">
        <f t="shared" si="79"/>
        <v>39</v>
      </c>
      <c r="M32" s="2">
        <f t="shared" si="80"/>
        <v>255</v>
      </c>
      <c r="N32" s="2">
        <f t="shared" si="81"/>
        <v>254</v>
      </c>
      <c r="O32" s="2" t="str">
        <f t="shared" si="19"/>
        <v>00111110</v>
      </c>
      <c r="P32" s="2" t="str">
        <f t="shared" si="19"/>
        <v>00100111</v>
      </c>
      <c r="Q32" s="2" t="str">
        <f t="shared" si="19"/>
        <v>11111111</v>
      </c>
      <c r="R32" s="2" t="str">
        <f t="shared" si="19"/>
        <v>11111110</v>
      </c>
    </row>
    <row r="33" spans="1:18" ht="15.6" x14ac:dyDescent="0.3">
      <c r="A33" s="23" t="str">
        <f t="shared" ref="A33:A40" si="83">"Подсеть "&amp;G33</f>
        <v xml:space="preserve">Подсеть </v>
      </c>
      <c r="B33" s="23" t="s">
        <v>8</v>
      </c>
      <c r="C33" s="23" t="str">
        <f t="shared" ref="C33:C40" si="84">IF(G33="","",_xlfn.BASE($G33,2,$C$6))</f>
        <v/>
      </c>
      <c r="D33" s="23" t="str">
        <f t="shared" si="6"/>
        <v/>
      </c>
      <c r="E33" s="23" t="str">
        <f t="shared" si="8"/>
        <v/>
      </c>
      <c r="F33" s="5"/>
      <c r="G33" s="2" t="str">
        <f t="shared" ref="G33" si="85">IF($C$5&gt;=H33,H33,"")</f>
        <v/>
      </c>
      <c r="H33" s="2">
        <v>6</v>
      </c>
      <c r="I33" s="2">
        <f t="shared" ref="I33" si="86">H33*2^($C$11)</f>
        <v>1572864</v>
      </c>
      <c r="J33" s="2">
        <f t="shared" ref="J33" si="87">$K$5+I33</f>
        <v>1042808832</v>
      </c>
      <c r="K33" s="2">
        <f t="shared" si="78"/>
        <v>62</v>
      </c>
      <c r="L33" s="2">
        <f t="shared" si="79"/>
        <v>40</v>
      </c>
      <c r="M33" s="2">
        <f t="shared" si="80"/>
        <v>0</v>
      </c>
      <c r="N33" s="2">
        <f t="shared" si="81"/>
        <v>0</v>
      </c>
      <c r="O33" s="2" t="str">
        <f t="shared" si="19"/>
        <v>00111110</v>
      </c>
      <c r="P33" s="2" t="str">
        <f t="shared" si="19"/>
        <v>00101000</v>
      </c>
      <c r="Q33" s="2" t="str">
        <f t="shared" si="19"/>
        <v>00000000</v>
      </c>
      <c r="R33" s="2" t="str">
        <f t="shared" si="19"/>
        <v>00000000</v>
      </c>
    </row>
    <row r="34" spans="1:18" ht="15.6" x14ac:dyDescent="0.3">
      <c r="A34" s="23"/>
      <c r="B34" s="23" t="s">
        <v>9</v>
      </c>
      <c r="C34" s="23"/>
      <c r="D34" s="23" t="str">
        <f t="shared" si="6"/>
        <v/>
      </c>
      <c r="E34" s="23" t="str">
        <f t="shared" si="8"/>
        <v/>
      </c>
      <c r="F34" s="5"/>
      <c r="G34" s="2" t="str">
        <f t="shared" ref="G34:G40" si="88">G33</f>
        <v/>
      </c>
      <c r="J34" s="2">
        <f t="shared" ref="J34" si="89">K34*2^24+L34*2^16+M34*2^8+N34</f>
        <v>1043070975</v>
      </c>
      <c r="K34" s="2">
        <f t="shared" ref="K34:K40" si="90">_xlfn.BITOR($L$9,K33)</f>
        <v>62</v>
      </c>
      <c r="L34" s="2">
        <f t="shared" ref="L34:L40" si="91">_xlfn.BITOR($M$9,L33)</f>
        <v>43</v>
      </c>
      <c r="M34" s="2">
        <f t="shared" ref="M34:M40" si="92">_xlfn.BITOR($N$9,M33)</f>
        <v>255</v>
      </c>
      <c r="N34" s="2">
        <f t="shared" ref="N34:N40" si="93">_xlfn.BITOR($O$9,N33)</f>
        <v>255</v>
      </c>
      <c r="O34" s="2" t="str">
        <f t="shared" si="19"/>
        <v>00111110</v>
      </c>
      <c r="P34" s="2" t="str">
        <f t="shared" si="19"/>
        <v>00101011</v>
      </c>
      <c r="Q34" s="2" t="str">
        <f t="shared" si="19"/>
        <v>11111111</v>
      </c>
      <c r="R34" s="2" t="str">
        <f t="shared" si="19"/>
        <v>11111111</v>
      </c>
    </row>
    <row r="35" spans="1:18" ht="15.6" x14ac:dyDescent="0.3">
      <c r="A35" s="23"/>
      <c r="B35" s="23" t="s">
        <v>10</v>
      </c>
      <c r="C35" s="23"/>
      <c r="D35" s="23" t="str">
        <f t="shared" si="6"/>
        <v/>
      </c>
      <c r="E35" s="23" t="str">
        <f t="shared" si="8"/>
        <v/>
      </c>
      <c r="F35" s="5"/>
      <c r="G35" s="2" t="str">
        <f t="shared" si="88"/>
        <v/>
      </c>
      <c r="J35" s="2">
        <f t="shared" ref="J35" si="94">J33+1</f>
        <v>1042808833</v>
      </c>
      <c r="K35" s="2">
        <f t="shared" ref="K35:K37" si="95">QUOTIENT(J35,2^24)</f>
        <v>62</v>
      </c>
      <c r="L35" s="2">
        <f t="shared" ref="L35:L40" si="96">QUOTIENT(MOD(J35,2^24),2^16)</f>
        <v>40</v>
      </c>
      <c r="M35" s="2">
        <f t="shared" ref="M35:M40" si="97">QUOTIENT(MOD(J35,2^16),2^8)</f>
        <v>0</v>
      </c>
      <c r="N35" s="2">
        <f t="shared" ref="N35:N40" si="98">MOD(J35,2^8)</f>
        <v>1</v>
      </c>
      <c r="O35" s="2" t="str">
        <f t="shared" si="19"/>
        <v>00111110</v>
      </c>
      <c r="P35" s="2" t="str">
        <f t="shared" si="19"/>
        <v>00101000</v>
      </c>
      <c r="Q35" s="2" t="str">
        <f t="shared" si="19"/>
        <v>00000000</v>
      </c>
      <c r="R35" s="2" t="str">
        <f t="shared" si="19"/>
        <v>00000001</v>
      </c>
    </row>
    <row r="36" spans="1:18" ht="15.6" x14ac:dyDescent="0.3">
      <c r="A36" s="23"/>
      <c r="B36" s="23" t="s">
        <v>11</v>
      </c>
      <c r="C36" s="23"/>
      <c r="D36" s="23" t="str">
        <f t="shared" si="6"/>
        <v/>
      </c>
      <c r="E36" s="23" t="str">
        <f t="shared" si="8"/>
        <v/>
      </c>
      <c r="F36" s="5"/>
      <c r="G36" s="2" t="str">
        <f t="shared" si="88"/>
        <v/>
      </c>
      <c r="J36" s="2">
        <f t="shared" ref="J36" si="99">J34-1</f>
        <v>1043070974</v>
      </c>
      <c r="K36" s="2">
        <f t="shared" si="95"/>
        <v>62</v>
      </c>
      <c r="L36" s="2">
        <f t="shared" si="96"/>
        <v>43</v>
      </c>
      <c r="M36" s="2">
        <f t="shared" si="97"/>
        <v>255</v>
      </c>
      <c r="N36" s="2">
        <f t="shared" si="98"/>
        <v>254</v>
      </c>
      <c r="O36" s="2" t="str">
        <f t="shared" si="19"/>
        <v>00111110</v>
      </c>
      <c r="P36" s="2" t="str">
        <f t="shared" si="19"/>
        <v>00101011</v>
      </c>
      <c r="Q36" s="2" t="str">
        <f t="shared" si="19"/>
        <v>11111111</v>
      </c>
      <c r="R36" s="2" t="str">
        <f t="shared" si="19"/>
        <v>11111110</v>
      </c>
    </row>
    <row r="37" spans="1:18" ht="15.6" x14ac:dyDescent="0.3">
      <c r="A37" s="23" t="str">
        <f t="shared" ref="A37:A40" si="100">"Подсеть "&amp;G37</f>
        <v xml:space="preserve">Подсеть </v>
      </c>
      <c r="B37" s="23" t="s">
        <v>8</v>
      </c>
      <c r="C37" s="23" t="str">
        <f t="shared" ref="C37:C40" si="101">IF(G37="","",_xlfn.BASE($G37,2,$C$6))</f>
        <v/>
      </c>
      <c r="D37" s="23" t="str">
        <f t="shared" si="6"/>
        <v/>
      </c>
      <c r="E37" s="23" t="str">
        <f t="shared" si="8"/>
        <v/>
      </c>
      <c r="F37" s="5"/>
      <c r="G37" s="2" t="str">
        <f t="shared" ref="G37" si="102">IF($C$5&gt;=H37,H37,"")</f>
        <v/>
      </c>
      <c r="H37" s="2">
        <v>7</v>
      </c>
      <c r="I37" s="2">
        <f t="shared" ref="I37" si="103">H37*2^($C$11)</f>
        <v>1835008</v>
      </c>
      <c r="J37" s="2">
        <f t="shared" ref="J37" si="104">$K$5+I37</f>
        <v>1043070976</v>
      </c>
      <c r="K37" s="2">
        <f t="shared" si="95"/>
        <v>62</v>
      </c>
      <c r="L37" s="2">
        <f t="shared" si="96"/>
        <v>44</v>
      </c>
      <c r="M37" s="2">
        <f t="shared" si="97"/>
        <v>0</v>
      </c>
      <c r="N37" s="2">
        <f t="shared" si="98"/>
        <v>0</v>
      </c>
      <c r="O37" s="2" t="str">
        <f t="shared" si="19"/>
        <v>00111110</v>
      </c>
      <c r="P37" s="2" t="str">
        <f t="shared" si="19"/>
        <v>00101100</v>
      </c>
      <c r="Q37" s="2" t="str">
        <f t="shared" si="19"/>
        <v>00000000</v>
      </c>
      <c r="R37" s="2" t="str">
        <f t="shared" si="19"/>
        <v>00000000</v>
      </c>
    </row>
    <row r="38" spans="1:18" ht="15.6" x14ac:dyDescent="0.3">
      <c r="A38" s="23"/>
      <c r="B38" s="23" t="s">
        <v>9</v>
      </c>
      <c r="C38" s="23"/>
      <c r="D38" s="23" t="str">
        <f t="shared" si="6"/>
        <v/>
      </c>
      <c r="E38" s="23" t="str">
        <f t="shared" si="8"/>
        <v/>
      </c>
      <c r="F38" s="5"/>
      <c r="G38" s="2" t="str">
        <f t="shared" ref="G38:G40" si="105">G37</f>
        <v/>
      </c>
      <c r="J38" s="2">
        <f t="shared" ref="J38" si="106">K38*2^24+L38*2^16+M38*2^8+N38</f>
        <v>1043333119</v>
      </c>
      <c r="K38" s="2">
        <f t="shared" ref="K38:K40" si="107">_xlfn.BITOR($L$9,K37)</f>
        <v>62</v>
      </c>
      <c r="L38" s="2">
        <f t="shared" ref="L38:L40" si="108">_xlfn.BITOR($M$9,L37)</f>
        <v>47</v>
      </c>
      <c r="M38" s="2">
        <f t="shared" ref="M38:M40" si="109">_xlfn.BITOR($N$9,M37)</f>
        <v>255</v>
      </c>
      <c r="N38" s="2">
        <f t="shared" ref="N38:N40" si="110">_xlfn.BITOR($O$9,N37)</f>
        <v>255</v>
      </c>
      <c r="O38" s="2" t="str">
        <f t="shared" si="19"/>
        <v>00111110</v>
      </c>
      <c r="P38" s="2" t="str">
        <f t="shared" si="19"/>
        <v>00101111</v>
      </c>
      <c r="Q38" s="2" t="str">
        <f t="shared" si="19"/>
        <v>11111111</v>
      </c>
      <c r="R38" s="2" t="str">
        <f t="shared" si="19"/>
        <v>11111111</v>
      </c>
    </row>
    <row r="39" spans="1:18" ht="15.6" x14ac:dyDescent="0.3">
      <c r="A39" s="23"/>
      <c r="B39" s="23" t="s">
        <v>10</v>
      </c>
      <c r="C39" s="23"/>
      <c r="D39" s="23" t="str">
        <f t="shared" si="6"/>
        <v/>
      </c>
      <c r="E39" s="23" t="str">
        <f t="shared" si="8"/>
        <v/>
      </c>
      <c r="F39" s="5"/>
      <c r="G39" s="2" t="str">
        <f t="shared" si="105"/>
        <v/>
      </c>
      <c r="J39" s="2">
        <f t="shared" ref="J39" si="111">J37+1</f>
        <v>1043070977</v>
      </c>
      <c r="K39" s="2">
        <f t="shared" ref="K39:K40" si="112">QUOTIENT(J39,2^24)</f>
        <v>62</v>
      </c>
      <c r="L39" s="2">
        <f t="shared" ref="L39:L40" si="113">QUOTIENT(MOD(J39,2^24),2^16)</f>
        <v>44</v>
      </c>
      <c r="M39" s="2">
        <f t="shared" ref="M39:M40" si="114">QUOTIENT(MOD(J39,2^16),2^8)</f>
        <v>0</v>
      </c>
      <c r="N39" s="2">
        <f t="shared" ref="N39:N40" si="115">MOD(J39,2^8)</f>
        <v>1</v>
      </c>
      <c r="O39" s="2" t="str">
        <f t="shared" si="19"/>
        <v>00111110</v>
      </c>
      <c r="P39" s="2" t="str">
        <f t="shared" si="19"/>
        <v>00101100</v>
      </c>
      <c r="Q39" s="2" t="str">
        <f t="shared" si="19"/>
        <v>00000000</v>
      </c>
      <c r="R39" s="2" t="str">
        <f t="shared" si="19"/>
        <v>00000001</v>
      </c>
    </row>
    <row r="40" spans="1:18" ht="15.6" x14ac:dyDescent="0.3">
      <c r="A40" s="23"/>
      <c r="B40" s="23" t="s">
        <v>11</v>
      </c>
      <c r="C40" s="23"/>
      <c r="D40" s="23" t="str">
        <f t="shared" si="6"/>
        <v/>
      </c>
      <c r="E40" s="23" t="str">
        <f t="shared" si="8"/>
        <v/>
      </c>
      <c r="F40" s="5"/>
      <c r="G40" s="2" t="str">
        <f t="shared" si="105"/>
        <v/>
      </c>
      <c r="J40" s="2">
        <f t="shared" ref="J40" si="116">J38-1</f>
        <v>1043333118</v>
      </c>
      <c r="K40" s="2">
        <f t="shared" si="112"/>
        <v>62</v>
      </c>
      <c r="L40" s="2">
        <f t="shared" si="113"/>
        <v>47</v>
      </c>
      <c r="M40" s="2">
        <f t="shared" si="114"/>
        <v>255</v>
      </c>
      <c r="N40" s="2">
        <f t="shared" si="115"/>
        <v>254</v>
      </c>
      <c r="O40" s="2" t="str">
        <f t="shared" si="19"/>
        <v>00111110</v>
      </c>
      <c r="P40" s="2" t="str">
        <f t="shared" si="19"/>
        <v>00101111</v>
      </c>
      <c r="Q40" s="2" t="str">
        <f t="shared" si="19"/>
        <v>11111111</v>
      </c>
      <c r="R40" s="2" t="str">
        <f t="shared" si="19"/>
        <v>11111110</v>
      </c>
    </row>
    <row r="41" spans="1:18" x14ac:dyDescent="0.3">
      <c r="A41" s="5"/>
      <c r="B41" s="5"/>
      <c r="C41" s="5"/>
      <c r="D41" s="5"/>
      <c r="E41" s="5"/>
      <c r="F41" s="5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3" spans="1:1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">
      <c r="A49" s="1"/>
      <c r="B49" s="1"/>
      <c r="C49" s="1"/>
      <c r="D49" s="1"/>
      <c r="E49" s="1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B50" s="3"/>
      <c r="C50" s="3"/>
      <c r="D50" s="3"/>
      <c r="E50" s="3"/>
    </row>
    <row r="51" spans="1:18" x14ac:dyDescent="0.3">
      <c r="B51" s="3"/>
      <c r="C51" s="3"/>
      <c r="D51" s="3"/>
      <c r="E51" s="3"/>
    </row>
    <row r="52" spans="1:18" x14ac:dyDescent="0.3">
      <c r="B52" s="3"/>
      <c r="C52" s="3"/>
      <c r="D52" s="3"/>
      <c r="E52" s="3"/>
    </row>
    <row r="53" spans="1:18" x14ac:dyDescent="0.3">
      <c r="B53" s="3"/>
      <c r="C53" s="3"/>
      <c r="D53" s="3"/>
      <c r="E53" s="3"/>
    </row>
  </sheetData>
  <mergeCells count="19">
    <mergeCell ref="A11:B11"/>
    <mergeCell ref="C11:E11"/>
    <mergeCell ref="A12:B12"/>
    <mergeCell ref="C12:E12"/>
    <mergeCell ref="A7:B7"/>
    <mergeCell ref="A8:B8"/>
    <mergeCell ref="A9:B9"/>
    <mergeCell ref="A10:B10"/>
    <mergeCell ref="C2:E2"/>
    <mergeCell ref="C3:E3"/>
    <mergeCell ref="C4:E4"/>
    <mergeCell ref="C5:E5"/>
    <mergeCell ref="C6:E6"/>
    <mergeCell ref="A1:E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6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Сакулин Иван Михайлович</cp:lastModifiedBy>
  <dcterms:created xsi:type="dcterms:W3CDTF">2015-06-05T18:17:20Z</dcterms:created>
  <dcterms:modified xsi:type="dcterms:W3CDTF">2025-04-12T12:38:58Z</dcterms:modified>
</cp:coreProperties>
</file>